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Graniti\Podujeve\"/>
    </mc:Choice>
  </mc:AlternateContent>
  <xr:revisionPtr revIDLastSave="0" documentId="13_ncr:1_{F47CEE9C-7E78-4EC1-A3BC-F2EB59DFB7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Sheet1!$A$9:$F$38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13" i="1"/>
  <c r="H36" i="1" l="1"/>
  <c r="H37" i="1" s="1"/>
  <c r="H38" i="1" s="1"/>
  <c r="H41" i="1" s="1"/>
  <c r="F14" i="1" l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 l="1"/>
  <c r="F37" i="1" s="1"/>
  <c r="F38" i="1" s="1"/>
</calcChain>
</file>

<file path=xl/sharedStrings.xml><?xml version="1.0" encoding="utf-8"?>
<sst xmlns="http://schemas.openxmlformats.org/spreadsheetml/2006/main" count="76" uniqueCount="54">
  <si>
    <t>m²</t>
  </si>
  <si>
    <t>Sasia</t>
  </si>
  <si>
    <t>Çmimi</t>
  </si>
  <si>
    <t>copë</t>
  </si>
  <si>
    <t>Njësia</t>
  </si>
  <si>
    <t>Shuma</t>
  </si>
  <si>
    <t>Nr.</t>
  </si>
  <si>
    <t>Përshkrimi i punimeve</t>
  </si>
  <si>
    <t>TVSH 18%</t>
  </si>
  <si>
    <t>GJITHËSEJ:</t>
  </si>
  <si>
    <t>RENOVIMET NË QKMF</t>
  </si>
  <si>
    <t>m'</t>
  </si>
  <si>
    <t>TOTALI</t>
  </si>
  <si>
    <t xml:space="preserve">Furnizimi me material si dhe punimi (mbulimi) final i dyshemesë me Linoleum  me trashësi d=3.0mm, pozicioni përfshinë edhe të gjitha materialet dhe punët e nevojshme për kompletimin e këtij aktiviteti , si llajsnet h=10cm dhe gjithë aksesorët e tjerë . Paraprakisht demontimi i shtresës ekzistuese </t>
  </si>
  <si>
    <r>
      <t>m</t>
    </r>
    <r>
      <rPr>
        <sz val="12"/>
        <rFont val="Calibri"/>
        <family val="2"/>
      </rPr>
      <t>²</t>
    </r>
  </si>
  <si>
    <t xml:space="preserve">Furnizimi , transporti dhe montimi i knaufit (akua panel) me të gjitha pjesët përcjellëse (përdoret te mveshja e gypave të ujit dhe kanalizimit) , duke përfshirë : këndoret , gletimi dhe ngjyrosja . Paraprakisht të bëhet izolimi i gypave të ujit dhe të kanalizimit me termoizolim kundër kondenzatit </t>
  </si>
  <si>
    <r>
      <t>Furnizimi me material dhe montimi i lavamanëve nga porcelani</t>
    </r>
    <r>
      <rPr>
        <sz val="12"/>
        <color indexed="8"/>
        <rFont val="Arial"/>
        <family val="2"/>
      </rPr>
      <t xml:space="preserve"> me dimensione 60/50/85 cm , së bashku me të gjitha elementet fazonike si : sifoni  , EK-ventila, dhe pasqyrë muri (e varur me elementet përcjellëse tiplla dhe sharafa adekuat) . Paraprakisht demontimi i atyre ekzistues </t>
    </r>
  </si>
  <si>
    <t>Furnizimi , transporti dhe montimi i gypit standard të ujësjellësit me të gjitha elementet përcjellëse deri në funksionalizim</t>
  </si>
  <si>
    <t>Hapja (prerja me pajisje adekuate) e mureve ekzistuese nga materiali prej argjilës pa bërë dëmtime anësore të murit . Në llog. hynë edhe përpunimi final i kornizave të mureve me të gjitha shtresat duke llogaritur edhe shtresat e knaufit rrjetëzimi , ngjitësi , këndoret metalike , gletimi dhe ngjyrosja . Bartja e materialit për në deponi</t>
  </si>
  <si>
    <t xml:space="preserve">Furnizimi dhe ngjyrosja (për hapësirat e brendshme) me ngjyrë akrile për mure , plafone , në dy shtresa . Lloji dhe ngjyra caktohen sipas kërkesës së investitorit . Paraprakisht të bëhet ngjyrosja me shtresën bazë . Sipas nevojës të përdoret edhe ngjyra yndyrore ekologjike . </t>
  </si>
  <si>
    <r>
      <t>Furnizimi me material dhe montimi i pllakave të dyshemesë nga gres porcelani me trashësi jo me të vogël se 10 mm, për ambiente të brendshme . Përzgjedhja e llojit dhe ngjyrës së pllakave caktohet sipas kërkesës së investitorit . Në çmim janë të përfshira edhe të gjitha këndet e nevojshme prej alumini si dhe coklla me lartësi 8 cm (llogaritet si m</t>
    </r>
    <r>
      <rPr>
        <sz val="12"/>
        <rFont val="Calibri"/>
        <family val="2"/>
      </rPr>
      <t>²</t>
    </r>
    <r>
      <rPr>
        <sz val="12"/>
        <rFont val="Arial"/>
        <family val="2"/>
      </rPr>
      <t>) . Montimi të bëhet me llaç çimentoje dhe të bëhet rinivelizimi i dyshemesë duke përfshirë edhe fugimin përfundimtar të dyshemesë.</t>
    </r>
  </si>
  <si>
    <t>Furnizimi me material si dhe gletimi i mureve , deri në dy shtresa me të gjitha elementet përcjellëse (rrjetave vetëm aty ku është e nevojshme në sipërfaqet e dëmtuara , këndoreve metalike) deri në përgaditjen e sipërfaqes për pranimin e ngjyrës.</t>
  </si>
  <si>
    <t>Furnizimi, transportimi dhe suvatimi i mureve me llaq vazhdues në dy shtresa me spërkatje paraprake me bazë. Llogaritet në m² , në çmim llogariten edhe këndoret metalike që vendosen në kënde.</t>
  </si>
  <si>
    <t xml:space="preserve">Furnizimi dhe ngjyrosja e radiatorëve dhe gypave të tyre  me ngjyrë adekuate në dy shtresa . Lloji dhe ngjyra caktohen sipas kërkesës së investitorit . </t>
  </si>
  <si>
    <t xml:space="preserve">Furnizimi , transporti dhe muratimi i hapjeve pas demontimit të dyerëve ekzistuese me blloqe nga materiali i argjilës me dim. 19x19x24 cm . Të llog. edhe materiali lidhës për muratim . Shtresat finale janë të llogaritura në pozicionet paraprake .
</t>
  </si>
  <si>
    <t>Furnizimi me material dhe punimi i murit ndarës nga pllakat e gips kartonit . Muri të punohet  me trashësi  20 cm duke përdorur profile dyfishe CW 100/50/0.6 mm dhe UW100/40/0.6mm., të cilat vendosen në çdo 40 cm. , kurse ankerohen në dysheme  dhe në plafon . Pllakat nga gips kartoni  vendosen në dy shtresa në të dy anët e murit ndarës, duke i mbushur fugat me masë adekuate (shtuko mbushëse) dhe shirit adekuat , gletimi(patinimi) i tyre si dhe  ngjyrosja , kurse në vendin e bashkimit të murit ndarës me dyshemenë të vendoset shiriti i gomës izoluese. Mbushja mes pllakave bëhet me lesh xhami me t=2x10cm .
Sipërfaqja e murit është 22.50 m² , mirëpo llogaria e sipërfaqes së knaufit , rrjetëzimit , gletimit dhe ngjyrosjes të bëhet në të dy anët e murit (45.00 m²)</t>
  </si>
  <si>
    <t xml:space="preserve">Furnizimi dhe montimi i pllakave të murit nga porcelani klasi i parë, dy herë te pjekura, fortësia min. 50N/mm2 , rezistenca ndaj abrazionit , ngricave , acideve , absorbimi i ujit duhet të jetë më e ulët se 0.5% .Vendosja e pllakave duhet të bëhet konform standardeve .Në çmim duhet të përfshihen edhe këndoret e aluminit ,ngjitësi dhe të gjitha punët tjera të nevojshme për të arritur produktin final. Paraprakisht demontimi i pllakave ekzistuese </t>
  </si>
  <si>
    <t>Furnizimi , transporti dhe montimi i gypit standard të kanalizimit me të gjitha elementet përcjellëse deri në funksionalizim</t>
  </si>
  <si>
    <t xml:space="preserve">Furnizimi , transporti dhe mveshja e sportelit me 2 shirite nga materiali "inox" me t=2mm dhe me gjerësi deri në 30cm , përkatësisht 20cm dhe 10cm </t>
  </si>
  <si>
    <r>
      <t>Furnizimi me material dhe montimi i enëlarësit standard nga materiali inox , i inkorporuar në pultin nga materiali kompakt laminot</t>
    </r>
    <r>
      <rPr>
        <sz val="12"/>
        <color indexed="8"/>
        <rFont val="Arial"/>
        <family val="2"/>
      </rPr>
      <t xml:space="preserve"> me dimensione 100/60/85 cm , së bashku me të gjitha elementet fazonike si : sifoni  , EK-ventila, bateria me të gjitha elementet etj . Në llog. hyjnë edhe dollapët nga materiali mediapani (Kjo shërben si një mini kuzhinë) </t>
    </r>
  </si>
  <si>
    <t>Punimi i sportelit me konstruksion metalik (konstruksioni metalik të punohet me profile me dim.40x40x3mm me lartësi 110cm , gjatësi 250 cm dhe trashësi 20cm të (kornizës , apo skeletit) , si dhe të mveshet me panele mediapani t=16mm në të gjitha anët  , po ashtu edhe pulti të jetë mediapan (L= 250 cm) me t=32mm dhe gjerësi 60cm . Të llogaritet edhe dera lëvizëse po nga mediapani deri në lartësinë e pultit (113cm) me tërë mekanizmin . Po ashtu të llogaritet edhe furnizimi , transporti dhe montimi i profileve nga alumini me dimensione standarde të trashësisë , me të gjitha pjesët përcjellëse , i cili do të montohet mbi hapësirën e pultit në lartësi deri në 75cm në llog. hyn edhe shtangimi i xhamit të dyfishtë me folie ngjitëse në mes , t=8mm dhe me lartësi deri në 75cm . Në llog. edhe hapjet standarde komunikuese në xhamin e montuar   (Të punohet si sporteli në QMF- në e Lluzhanit)</t>
  </si>
  <si>
    <t>Furnizimi, transporti dhe montimi i perdeve rolne (tipi "zebra") të kualitetit të lartë me tërë mekanizmin dhe pjesët përcjellëse  për hapjen dhe mbylljen e perdeve , i cili duhet të jetë i kualitetit të lartë. Ngjyra dhe struktura caktohet nga AK. Vërejtje : Mekanizmi nëse është e nevojshme do të përdoret si i veqantë  për çdo ndarje (fushë) të dritareve .</t>
  </si>
  <si>
    <t>Rregullimi dhe rivendosja e qelqit ekzistues (te lanternat) ekzistuese , përkatësisht ankerimi i tyre në vendin paraprak me të gjitha shtresat izoluese dhe ankeruese</t>
  </si>
  <si>
    <t xml:space="preserve">Furnizimi , transporti dhe montimi i perdeve (rolne) te lanternat të cilat shërbejnë për evitimin e rrezeve diellore . Të llogaritet edhe tërë mekanizmi adekuat për montimin e tyre (të jetë sistem i varur i montuar nën lanterna)  </t>
  </si>
  <si>
    <t xml:space="preserve">PARAMASA E RENOVIMIT </t>
  </si>
  <si>
    <t xml:space="preserve">Klimë komplet me inventer dhe elementet përcjellëse me  montim 
Kapaciteti 12 BTU 
 A+++
</t>
  </si>
  <si>
    <t xml:space="preserve">Klimë komplet me inventer dhe elementet përcjellëse me  montim 
Kapaciteti 18 BTU 
 A+++
</t>
  </si>
  <si>
    <t>Furnizimi dhe montimi i derës së brendshme (fletët e metalit të plastifikuara). Krahu i derës të jetë me mbështjellësit metalik t=0,8mm të mbushura me termoizolim Propern, trashësia e krahut të derës t=4cm. Shtukot/kornizat të jenë metalike t=2,2mm, mveshje e murit  (20-25 cm),dhe lartësi sipas dim.në projekt me profil adekuat në lartësinë 210 cm) si dhe  të pajisura me gomë perimetrike, mentesha tri pjesëshe , mekanizmi mbyllës dhe dorezë Inox; me izolim akustik  të akorduar sipas DIN EN ISO 140-3 (≥32dB).
Dera të jetë me dimensione 110x210 (cm)
Dera dhe materialet e saj duhet të jenë me standarde të kualitetit të lartë.</t>
  </si>
  <si>
    <t>SITUACIONI I PARË I PËRKOHSHËM</t>
  </si>
  <si>
    <t xml:space="preserve">                                                        Totali për pagesë situacioni i parë i përkohshëm</t>
  </si>
  <si>
    <t>Kontraktuesi :</t>
  </si>
  <si>
    <t>Menaxheri i kontratës:</t>
  </si>
  <si>
    <t>______________________</t>
  </si>
  <si>
    <t>__________________</t>
  </si>
  <si>
    <t xml:space="preserve"> "Megrant Ing "  SH.P.K  </t>
  </si>
  <si>
    <t>SITUACIONI I PARË           I PËRKOHSHËM</t>
  </si>
  <si>
    <r>
      <t xml:space="preserve">Kontrata:  </t>
    </r>
    <r>
      <rPr>
        <b/>
        <sz val="16"/>
        <color theme="1"/>
        <rFont val="Aptos Display"/>
        <family val="2"/>
      </rPr>
      <t xml:space="preserve"> Renovimi i hapësirave të brendshme në QKMF</t>
    </r>
  </si>
  <si>
    <r>
      <t>Autoriteti Kontraktues :</t>
    </r>
    <r>
      <rPr>
        <b/>
        <sz val="16"/>
        <color theme="1"/>
        <rFont val="Aptos Display"/>
        <family val="2"/>
      </rPr>
      <t xml:space="preserve"> Komuna e Podujevës</t>
    </r>
  </si>
  <si>
    <r>
      <t xml:space="preserve">Kontraktuesi  :  </t>
    </r>
    <r>
      <rPr>
        <b/>
        <sz val="16"/>
        <color theme="1"/>
        <rFont val="Aptos Display"/>
        <family val="2"/>
      </rPr>
      <t xml:space="preserve"> " Megrant Ing " SH.P.K  </t>
    </r>
  </si>
  <si>
    <r>
      <t xml:space="preserve">Vlera totale e kontratës   :  </t>
    </r>
    <r>
      <rPr>
        <b/>
        <sz val="16"/>
        <color theme="1"/>
        <rFont val="Aptos Display"/>
        <family val="2"/>
      </rPr>
      <t>14,444.44 €</t>
    </r>
  </si>
  <si>
    <r>
      <t xml:space="preserve">Data e situacionit të parë i përkohshëm :   </t>
    </r>
    <r>
      <rPr>
        <b/>
        <sz val="16"/>
        <color theme="1"/>
        <rFont val="Aptos Display"/>
        <family val="2"/>
      </rPr>
      <t>18.08.2025</t>
    </r>
  </si>
  <si>
    <t>18.08.2025</t>
  </si>
  <si>
    <t>z. Mahmut Ajvazi</t>
  </si>
  <si>
    <r>
      <t xml:space="preserve">Numri i kontrates : </t>
    </r>
    <r>
      <rPr>
        <b/>
        <sz val="16"/>
        <color theme="1"/>
        <rFont val="Aptos Display"/>
        <family val="2"/>
      </rPr>
      <t>615-25-4166-5-2-1/ C1176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</si>
</sst>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\ [$€-1]"/>
    <numFmt numFmtId="165" formatCode="#,##0.00\ [$€-1]_);\(#,##0.00\ [$€-1]\)"/>
    <numFmt numFmtId="166" formatCode="#,##0.00\ [$€-1];[Red]\-#,##0.00\ [$€-1]"/>
    <numFmt numFmtId="167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10"/>
      <name val="Arial"/>
      <family val="2"/>
    </font>
    <font>
      <b/>
      <sz val="24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  <font>
      <sz val="12"/>
      <color rgb="FF000000"/>
      <name val="Arial"/>
      <family val="2"/>
    </font>
    <font>
      <b/>
      <sz val="14"/>
      <name val="Arial"/>
      <family val="2"/>
    </font>
    <font>
      <b/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indexed="8"/>
      <name val="Arial"/>
      <family val="2"/>
    </font>
    <font>
      <sz val="11"/>
      <color theme="1"/>
      <name val="Tw Cen MT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indexed="8"/>
      <name val="Century Gothic"/>
      <family val="2"/>
    </font>
    <font>
      <sz val="12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1"/>
      <color indexed="8"/>
      <name val="Century Gothic"/>
      <family val="2"/>
    </font>
    <font>
      <sz val="11"/>
      <color indexed="8"/>
      <name val="Century Gothic"/>
      <family val="2"/>
    </font>
    <font>
      <sz val="14"/>
      <color theme="1"/>
      <name val="Calibri"/>
      <family val="2"/>
      <scheme val="minor"/>
    </font>
    <font>
      <b/>
      <sz val="16"/>
      <color theme="1"/>
      <name val="Aptos Display"/>
      <family val="2"/>
    </font>
    <font>
      <b/>
      <sz val="11"/>
      <color theme="1"/>
      <name val="Aptos Display"/>
      <family val="2"/>
    </font>
    <font>
      <b/>
      <sz val="14"/>
      <color theme="1"/>
      <name val="Aptos Display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sz val="16"/>
      <color indexed="8"/>
      <name val="Calibri"/>
      <family val="2"/>
    </font>
    <font>
      <sz val="16"/>
      <name val="Arial"/>
      <family val="2"/>
    </font>
    <font>
      <sz val="16"/>
      <color theme="1"/>
      <name val="Book Antiqua"/>
      <family val="1"/>
    </font>
    <font>
      <b/>
      <sz val="16"/>
      <color indexed="8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3" fontId="2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1" applyNumberFormat="1" applyFont="1" applyAlignment="1">
      <alignment horizontal="right" vertical="center"/>
    </xf>
    <xf numFmtId="165" fontId="0" fillId="0" borderId="0" xfId="1" applyNumberFormat="1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center"/>
    </xf>
    <xf numFmtId="165" fontId="0" fillId="0" borderId="0" xfId="0" applyNumberFormat="1"/>
    <xf numFmtId="0" fontId="6" fillId="0" borderId="12" xfId="0" applyFont="1" applyBorder="1" applyAlignment="1">
      <alignment horizontal="center" vertical="center" wrapText="1"/>
    </xf>
    <xf numFmtId="165" fontId="7" fillId="0" borderId="7" xfId="1" applyNumberFormat="1" applyFont="1" applyBorder="1" applyAlignment="1">
      <alignment horizontal="right" vertical="center"/>
    </xf>
    <xf numFmtId="165" fontId="7" fillId="0" borderId="4" xfId="1" applyNumberFormat="1" applyFont="1" applyBorder="1" applyAlignment="1">
      <alignment horizontal="right" vertical="center"/>
    </xf>
    <xf numFmtId="0" fontId="7" fillId="0" borderId="0" xfId="0" applyFont="1"/>
    <xf numFmtId="2" fontId="11" fillId="0" borderId="0" xfId="1" applyNumberFormat="1" applyFont="1" applyAlignment="1">
      <alignment horizontal="right" vertical="center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right" vertical="center" wrapText="1"/>
    </xf>
    <xf numFmtId="2" fontId="10" fillId="3" borderId="11" xfId="0" applyNumberFormat="1" applyFont="1" applyFill="1" applyBorder="1" applyAlignment="1">
      <alignment horizontal="right" vertical="center" wrapText="1"/>
    </xf>
    <xf numFmtId="0" fontId="7" fillId="3" borderId="14" xfId="0" applyFont="1" applyFill="1" applyBorder="1" applyAlignment="1">
      <alignment horizontal="center" vertical="center"/>
    </xf>
    <xf numFmtId="0" fontId="0" fillId="2" borderId="0" xfId="0" applyFill="1"/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wrapText="1"/>
    </xf>
    <xf numFmtId="0" fontId="10" fillId="3" borderId="16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vertical="top" wrapText="1"/>
    </xf>
    <xf numFmtId="0" fontId="6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wrapText="1"/>
    </xf>
    <xf numFmtId="0" fontId="7" fillId="2" borderId="15" xfId="0" applyFont="1" applyFill="1" applyBorder="1" applyAlignment="1">
      <alignment vertical="top" wrapText="1"/>
    </xf>
    <xf numFmtId="0" fontId="6" fillId="0" borderId="15" xfId="0" applyFont="1" applyBorder="1" applyAlignment="1">
      <alignment horizontal="justify" vertical="top" wrapText="1"/>
    </xf>
    <xf numFmtId="0" fontId="7" fillId="2" borderId="15" xfId="0" applyFont="1" applyFill="1" applyBorder="1" applyAlignment="1">
      <alignment horizontal="left" vertical="top" wrapText="1"/>
    </xf>
    <xf numFmtId="0" fontId="6" fillId="2" borderId="15" xfId="0" applyFont="1" applyFill="1" applyBorder="1" applyAlignment="1">
      <alignment horizontal="left" vertical="center" wrapText="1"/>
    </xf>
    <xf numFmtId="164" fontId="6" fillId="2" borderId="15" xfId="2" applyFont="1" applyFill="1" applyBorder="1" applyAlignment="1">
      <alignment vertical="top" wrapText="1"/>
    </xf>
    <xf numFmtId="164" fontId="8" fillId="0" borderId="15" xfId="2" applyFont="1" applyBorder="1" applyAlignment="1">
      <alignment vertical="top" wrapText="1"/>
    </xf>
    <xf numFmtId="0" fontId="9" fillId="0" borderId="12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43" fontId="6" fillId="0" borderId="3" xfId="1" applyFont="1" applyBorder="1" applyAlignment="1">
      <alignment horizontal="center" vertical="center"/>
    </xf>
    <xf numFmtId="43" fontId="6" fillId="0" borderId="1" xfId="1" applyFont="1" applyBorder="1" applyAlignment="1">
      <alignment horizontal="center" vertical="center" wrapText="1"/>
    </xf>
    <xf numFmtId="43" fontId="6" fillId="0" borderId="3" xfId="1" applyFont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 wrapText="1"/>
    </xf>
    <xf numFmtId="43" fontId="6" fillId="0" borderId="5" xfId="1" applyFont="1" applyBorder="1" applyAlignment="1">
      <alignment horizontal="center" vertical="center" wrapText="1"/>
    </xf>
    <xf numFmtId="43" fontId="9" fillId="0" borderId="1" xfId="1" applyFont="1" applyBorder="1" applyAlignment="1">
      <alignment horizontal="center" vertical="center"/>
    </xf>
    <xf numFmtId="43" fontId="9" fillId="0" borderId="22" xfId="1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165" fontId="15" fillId="0" borderId="4" xfId="1" applyNumberFormat="1" applyFont="1" applyBorder="1" applyAlignment="1">
      <alignment horizontal="right" vertical="center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left" vertical="top" wrapText="1"/>
    </xf>
    <xf numFmtId="0" fontId="19" fillId="0" borderId="0" xfId="0" applyFont="1"/>
    <xf numFmtId="167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0" fontId="22" fillId="0" borderId="0" xfId="0" applyFont="1"/>
    <xf numFmtId="0" fontId="23" fillId="0" borderId="0" xfId="0" applyFont="1"/>
    <xf numFmtId="164" fontId="21" fillId="0" borderId="0" xfId="0" applyNumberFormat="1" applyFont="1" applyAlignment="1">
      <alignment horizontal="right" vertical="center" wrapText="1"/>
    </xf>
    <xf numFmtId="166" fontId="20" fillId="0" borderId="28" xfId="1" applyNumberFormat="1" applyFont="1" applyBorder="1" applyAlignment="1">
      <alignment vertical="center"/>
    </xf>
    <xf numFmtId="2" fontId="16" fillId="0" borderId="5" xfId="1" applyNumberFormat="1" applyFont="1" applyBorder="1" applyAlignment="1">
      <alignment horizontal="right" vertical="center"/>
    </xf>
    <xf numFmtId="165" fontId="16" fillId="0" borderId="5" xfId="1" applyNumberFormat="1" applyFont="1" applyBorder="1" applyAlignment="1">
      <alignment horizontal="right" vertical="center"/>
    </xf>
    <xf numFmtId="0" fontId="16" fillId="0" borderId="5" xfId="0" applyFont="1" applyBorder="1" applyAlignment="1">
      <alignment vertical="center"/>
    </xf>
    <xf numFmtId="0" fontId="25" fillId="0" borderId="5" xfId="0" applyFont="1" applyBorder="1" applyAlignment="1">
      <alignment vertical="center"/>
    </xf>
    <xf numFmtId="0" fontId="26" fillId="0" borderId="27" xfId="0" applyFont="1" applyBorder="1" applyAlignment="1">
      <alignment vertical="center"/>
    </xf>
    <xf numFmtId="166" fontId="27" fillId="0" borderId="27" xfId="1" applyNumberFormat="1" applyFont="1" applyBorder="1" applyAlignment="1">
      <alignment vertical="center"/>
    </xf>
    <xf numFmtId="0" fontId="16" fillId="0" borderId="12" xfId="0" applyFont="1" applyBorder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 applyAlignment="1">
      <alignment wrapText="1"/>
    </xf>
    <xf numFmtId="0" fontId="28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left" vertical="top"/>
    </xf>
    <xf numFmtId="0" fontId="28" fillId="0" borderId="27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7" fillId="0" borderId="23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right" vertical="center" wrapText="1"/>
    </xf>
    <xf numFmtId="2" fontId="10" fillId="2" borderId="11" xfId="0" applyNumberFormat="1" applyFont="1" applyFill="1" applyBorder="1" applyAlignment="1">
      <alignment horizontal="right" vertical="center" wrapText="1"/>
    </xf>
    <xf numFmtId="43" fontId="6" fillId="2" borderId="3" xfId="1" applyFont="1" applyFill="1" applyBorder="1" applyAlignment="1">
      <alignment horizontal="center" vertical="center"/>
    </xf>
    <xf numFmtId="43" fontId="6" fillId="2" borderId="6" xfId="1" applyFont="1" applyFill="1" applyBorder="1" applyAlignment="1">
      <alignment horizontal="center" vertical="center" wrapText="1"/>
    </xf>
    <xf numFmtId="43" fontId="6" fillId="2" borderId="5" xfId="1" applyFont="1" applyFill="1" applyBorder="1" applyAlignment="1">
      <alignment horizontal="center" vertical="center" wrapText="1"/>
    </xf>
    <xf numFmtId="43" fontId="9" fillId="2" borderId="1" xfId="1" applyFont="1" applyFill="1" applyBorder="1" applyAlignment="1">
      <alignment horizontal="center" vertical="center"/>
    </xf>
    <xf numFmtId="43" fontId="9" fillId="2" borderId="30" xfId="1" applyFont="1" applyFill="1" applyBorder="1" applyAlignment="1">
      <alignment horizontal="center" vertical="center"/>
    </xf>
    <xf numFmtId="0" fontId="0" fillId="2" borderId="29" xfId="0" applyFill="1" applyBorder="1"/>
    <xf numFmtId="165" fontId="7" fillId="2" borderId="7" xfId="1" applyNumberFormat="1" applyFont="1" applyFill="1" applyBorder="1" applyAlignment="1">
      <alignment horizontal="right" vertical="center"/>
    </xf>
    <xf numFmtId="165" fontId="7" fillId="2" borderId="4" xfId="1" applyNumberFormat="1" applyFont="1" applyFill="1" applyBorder="1" applyAlignment="1">
      <alignment horizontal="right" vertical="center"/>
    </xf>
    <xf numFmtId="0" fontId="23" fillId="2" borderId="0" xfId="0" applyFont="1" applyFill="1"/>
    <xf numFmtId="165" fontId="15" fillId="2" borderId="4" xfId="1" applyNumberFormat="1" applyFont="1" applyFill="1" applyBorder="1" applyAlignment="1">
      <alignment horizontal="right" vertical="center"/>
    </xf>
  </cellXfs>
  <cellStyles count="6">
    <cellStyle name="Comma" xfId="1" builtinId="3"/>
    <cellStyle name="Comma 2 2" xfId="3" xr:uid="{00000000-0005-0000-0000-000001000000}"/>
    <cellStyle name="Comma 3" xfId="5" xr:uid="{00000000-0005-0000-0000-000002000000}"/>
    <cellStyle name="Normal" xfId="0" builtinId="0"/>
    <cellStyle name="Normal 2" xfId="4" xr:uid="{00000000-0005-0000-0000-000004000000}"/>
    <cellStyle name="Normal 3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2474453</xdr:colOff>
      <xdr:row>35</xdr:row>
      <xdr:rowOff>0</xdr:rowOff>
    </xdr:from>
    <xdr:to>
      <xdr:col>1</xdr:col>
      <xdr:colOff>2476500</xdr:colOff>
      <xdr:row>35</xdr:row>
      <xdr:rowOff>104774</xdr:rowOff>
    </xdr:to>
    <xdr:pic>
      <xdr:nvPicPr>
        <xdr:cNvPr id="17" name="Picture 16" descr="ventil me hol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09733" y="3865246"/>
          <a:ext cx="2047" cy="104774"/>
        </a:xfrm>
        <a:prstGeom prst="rect">
          <a:avLst/>
        </a:prstGeom>
      </xdr:spPr>
    </xdr:pic>
    <xdr:clientData/>
  </xdr:twoCellAnchor>
  <xdr:twoCellAnchor editAs="oneCell">
    <xdr:from>
      <xdr:col>1</xdr:col>
      <xdr:colOff>2495550</xdr:colOff>
      <xdr:row>35</xdr:row>
      <xdr:rowOff>0</xdr:rowOff>
    </xdr:from>
    <xdr:to>
      <xdr:col>1</xdr:col>
      <xdr:colOff>2495551</xdr:colOff>
      <xdr:row>35</xdr:row>
      <xdr:rowOff>114300</xdr:rowOff>
    </xdr:to>
    <xdr:pic>
      <xdr:nvPicPr>
        <xdr:cNvPr id="18" name="Picture 17" descr="https://encrypted-tbn2.gstatic.com/images?q=tbn:ANd9GcRknZCVWgIVhr35NGhjRNky1OhCJWaHkwVXlhulnE42uPnMkvTboQ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0830" y="4297680"/>
          <a:ext cx="1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1181099</xdr:colOff>
      <xdr:row>35</xdr:row>
      <xdr:rowOff>0</xdr:rowOff>
    </xdr:from>
    <xdr:to>
      <xdr:col>1</xdr:col>
      <xdr:colOff>1181099</xdr:colOff>
      <xdr:row>35</xdr:row>
      <xdr:rowOff>389043</xdr:rowOff>
    </xdr:to>
    <xdr:pic>
      <xdr:nvPicPr>
        <xdr:cNvPr id="19" name="Picture 18" descr="https://encrypted-tbn0.gstatic.com/images?q=tbn:ANd9GcT1dg6CUUdmAvNUuT6paFsr4zyEnaGwLb8vme0IT0r6mwaISNK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6379" y="5753100"/>
          <a:ext cx="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2324099</xdr:colOff>
      <xdr:row>35</xdr:row>
      <xdr:rowOff>0</xdr:rowOff>
    </xdr:from>
    <xdr:to>
      <xdr:col>1</xdr:col>
      <xdr:colOff>2324099</xdr:colOff>
      <xdr:row>35</xdr:row>
      <xdr:rowOff>231882</xdr:rowOff>
    </xdr:to>
    <xdr:pic>
      <xdr:nvPicPr>
        <xdr:cNvPr id="20" name="Picture 19" descr="https://encrypted-tbn2.gstatic.com/images?q=tbn:ANd9GcTavEJWfgTdYeTX0UGMUqHSABJHoIqfhbAlGQpUAwE6nbwtHBeq0w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9379" y="8999220"/>
          <a:ext cx="0" cy="223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2483781</xdr:colOff>
      <xdr:row>35</xdr:row>
      <xdr:rowOff>0</xdr:rowOff>
    </xdr:from>
    <xdr:to>
      <xdr:col>1</xdr:col>
      <xdr:colOff>2483781</xdr:colOff>
      <xdr:row>36</xdr:row>
      <xdr:rowOff>255812</xdr:rowOff>
    </xdr:to>
    <xdr:pic>
      <xdr:nvPicPr>
        <xdr:cNvPr id="21" name="Picture 20" descr="https://encrypted-tbn1.gstatic.com/images?q=tbn:ANd9GcTlTSV5Jn7-CBvieD169rZaA-XVZhxA1rSLdmDuRgXHABeXQlpx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061" y="8999220"/>
          <a:ext cx="0" cy="6677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2409825</xdr:colOff>
      <xdr:row>35</xdr:row>
      <xdr:rowOff>0</xdr:rowOff>
    </xdr:from>
    <xdr:to>
      <xdr:col>1</xdr:col>
      <xdr:colOff>2409825</xdr:colOff>
      <xdr:row>35</xdr:row>
      <xdr:rowOff>14288</xdr:rowOff>
    </xdr:to>
    <xdr:pic>
      <xdr:nvPicPr>
        <xdr:cNvPr id="22" name="Picture 21" descr="https://encrypted-tbn2.gstatic.com/images?q=tbn:ANd9GcTavEJWfgTdYeTX0UGMUqHSABJHoIqfhbAlGQpUAwE6nbwtHBeq0w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5105" y="8999220"/>
          <a:ext cx="0" cy="14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2409825</xdr:colOff>
      <xdr:row>35</xdr:row>
      <xdr:rowOff>0</xdr:rowOff>
    </xdr:from>
    <xdr:to>
      <xdr:col>1</xdr:col>
      <xdr:colOff>2409825</xdr:colOff>
      <xdr:row>35</xdr:row>
      <xdr:rowOff>14288</xdr:rowOff>
    </xdr:to>
    <xdr:pic>
      <xdr:nvPicPr>
        <xdr:cNvPr id="23" name="Picture 22" descr="https://encrypted-tbn2.gstatic.com/images?q=tbn:ANd9GcTavEJWfgTdYeTX0UGMUqHSABJHoIqfhbAlGQpUAwE6nbwtHBeq0w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5105" y="8999220"/>
          <a:ext cx="0" cy="14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2019300</xdr:colOff>
      <xdr:row>35</xdr:row>
      <xdr:rowOff>0</xdr:rowOff>
    </xdr:from>
    <xdr:to>
      <xdr:col>1</xdr:col>
      <xdr:colOff>2019300</xdr:colOff>
      <xdr:row>36</xdr:row>
      <xdr:rowOff>141797</xdr:rowOff>
    </xdr:to>
    <xdr:pic>
      <xdr:nvPicPr>
        <xdr:cNvPr id="26" name="Picture 1551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4580" y="8999220"/>
          <a:ext cx="0" cy="555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2483781</xdr:colOff>
      <xdr:row>35</xdr:row>
      <xdr:rowOff>0</xdr:rowOff>
    </xdr:from>
    <xdr:to>
      <xdr:col>1</xdr:col>
      <xdr:colOff>2483781</xdr:colOff>
      <xdr:row>35</xdr:row>
      <xdr:rowOff>390006</xdr:rowOff>
    </xdr:to>
    <xdr:pic>
      <xdr:nvPicPr>
        <xdr:cNvPr id="27" name="Picture 26" descr="https://encrypted-tbn1.gstatic.com/images?q=tbn:ANd9GcTlTSV5Jn7-CBvieD169rZaA-XVZhxA1rSLdmDuRgXHABeXQlpx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061" y="9761220"/>
          <a:ext cx="0" cy="3819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2409825</xdr:colOff>
      <xdr:row>35</xdr:row>
      <xdr:rowOff>0</xdr:rowOff>
    </xdr:from>
    <xdr:to>
      <xdr:col>1</xdr:col>
      <xdr:colOff>2409825</xdr:colOff>
      <xdr:row>35</xdr:row>
      <xdr:rowOff>14288</xdr:rowOff>
    </xdr:to>
    <xdr:pic>
      <xdr:nvPicPr>
        <xdr:cNvPr id="28" name="Picture 27" descr="https://encrypted-tbn2.gstatic.com/images?q=tbn:ANd9GcTavEJWfgTdYeTX0UGMUqHSABJHoIqfhbAlGQpUAwE6nbwtHBeq0w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5105" y="9761220"/>
          <a:ext cx="0" cy="14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2409825</xdr:colOff>
      <xdr:row>35</xdr:row>
      <xdr:rowOff>0</xdr:rowOff>
    </xdr:from>
    <xdr:to>
      <xdr:col>1</xdr:col>
      <xdr:colOff>2409825</xdr:colOff>
      <xdr:row>35</xdr:row>
      <xdr:rowOff>14288</xdr:rowOff>
    </xdr:to>
    <xdr:pic>
      <xdr:nvPicPr>
        <xdr:cNvPr id="29" name="Picture 28" descr="https://encrypted-tbn2.gstatic.com/images?q=tbn:ANd9GcTavEJWfgTdYeTX0UGMUqHSABJHoIqfhbAlGQpUAwE6nbwtHBeq0w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5105" y="9761220"/>
          <a:ext cx="0" cy="14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2019300</xdr:colOff>
      <xdr:row>35</xdr:row>
      <xdr:rowOff>0</xdr:rowOff>
    </xdr:from>
    <xdr:to>
      <xdr:col>1</xdr:col>
      <xdr:colOff>2019300</xdr:colOff>
      <xdr:row>35</xdr:row>
      <xdr:rowOff>187093</xdr:rowOff>
    </xdr:to>
    <xdr:pic>
      <xdr:nvPicPr>
        <xdr:cNvPr id="30" name="Picture 15514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4580" y="9758447"/>
          <a:ext cx="0" cy="189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1181099</xdr:colOff>
      <xdr:row>35</xdr:row>
      <xdr:rowOff>0</xdr:rowOff>
    </xdr:from>
    <xdr:to>
      <xdr:col>1</xdr:col>
      <xdr:colOff>1181099</xdr:colOff>
      <xdr:row>35</xdr:row>
      <xdr:rowOff>389043</xdr:rowOff>
    </xdr:to>
    <xdr:pic>
      <xdr:nvPicPr>
        <xdr:cNvPr id="31" name="Picture 30" descr="https://encrypted-tbn0.gstatic.com/images?q=tbn:ANd9GcT1dg6CUUdmAvNUuT6paFsr4zyEnaGwLb8vme0IT0r6mwaISNK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6379" y="8237220"/>
          <a:ext cx="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214993</xdr:colOff>
      <xdr:row>35</xdr:row>
      <xdr:rowOff>0</xdr:rowOff>
    </xdr:from>
    <xdr:ext cx="397329" cy="9777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260" y="79662867"/>
          <a:ext cx="397329" cy="9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214993</xdr:colOff>
      <xdr:row>35</xdr:row>
      <xdr:rowOff>0</xdr:rowOff>
    </xdr:from>
    <xdr:ext cx="397329" cy="9777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260" y="79662867"/>
          <a:ext cx="397329" cy="9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35</xdr:row>
      <xdr:rowOff>0</xdr:rowOff>
    </xdr:from>
    <xdr:to>
      <xdr:col>1</xdr:col>
      <xdr:colOff>754380</xdr:colOff>
      <xdr:row>35</xdr:row>
      <xdr:rowOff>0</xdr:rowOff>
    </xdr:to>
    <xdr:pic>
      <xdr:nvPicPr>
        <xdr:cNvPr id="24" name="Picture 35">
          <a:extLst>
            <a:ext uri="{FF2B5EF4-FFF2-40B4-BE49-F238E27FC236}">
              <a16:creationId xmlns:a16="http://schemas.microsoft.com/office/drawing/2014/main" id="{00E58C13-73B1-4CE7-AB5C-ACA4C56A8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4520" y="9403080"/>
          <a:ext cx="7543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754380</xdr:colOff>
      <xdr:row>35</xdr:row>
      <xdr:rowOff>0</xdr:rowOff>
    </xdr:to>
    <xdr:pic>
      <xdr:nvPicPr>
        <xdr:cNvPr id="25" name="Picture 35">
          <a:extLst>
            <a:ext uri="{FF2B5EF4-FFF2-40B4-BE49-F238E27FC236}">
              <a16:creationId xmlns:a16="http://schemas.microsoft.com/office/drawing/2014/main" id="{0596810F-63D7-4D20-8BCD-6F2EADF12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4520" y="9403080"/>
          <a:ext cx="7543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312420</xdr:colOff>
      <xdr:row>44</xdr:row>
      <xdr:rowOff>144780</xdr:rowOff>
    </xdr:to>
    <xdr:sp macro="" textlink="">
      <xdr:nvSpPr>
        <xdr:cNvPr id="34" name="AutoShape 1025" descr="Image result for vitocell 100 v tip cvwa 500l">
          <a:extLst>
            <a:ext uri="{FF2B5EF4-FFF2-40B4-BE49-F238E27FC236}">
              <a16:creationId xmlns:a16="http://schemas.microsoft.com/office/drawing/2014/main" id="{2D184E6A-1F2D-4CBB-A4C8-B4BC325C9395}"/>
            </a:ext>
          </a:extLst>
        </xdr:cNvPr>
        <xdr:cNvSpPr>
          <a:spLocks noChangeAspect="1" noChangeArrowheads="1"/>
        </xdr:cNvSpPr>
      </xdr:nvSpPr>
      <xdr:spPr bwMode="auto">
        <a:xfrm>
          <a:off x="8305800" y="968502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7"/>
  <sheetViews>
    <sheetView tabSelected="1" topLeftCell="A13" zoomScale="90" zoomScaleNormal="90" workbookViewId="0">
      <selection activeCell="I15" sqref="I15"/>
    </sheetView>
  </sheetViews>
  <sheetFormatPr defaultRowHeight="14.4" x14ac:dyDescent="0.3"/>
  <cols>
    <col min="1" max="1" width="6.33203125" customWidth="1"/>
    <col min="2" max="2" width="56.6640625" customWidth="1"/>
    <col min="3" max="3" width="12.33203125" customWidth="1"/>
    <col min="4" max="4" width="11.5546875" style="1" customWidth="1"/>
    <col min="5" max="5" width="12.33203125" style="1" customWidth="1"/>
    <col min="6" max="6" width="17.44140625" style="2" customWidth="1"/>
    <col min="7" max="7" width="12" customWidth="1"/>
    <col min="8" max="8" width="16.44140625" customWidth="1"/>
    <col min="9" max="9" width="12" bestFit="1" customWidth="1"/>
    <col min="16" max="16" width="8.6640625" customWidth="1"/>
  </cols>
  <sheetData>
    <row r="1" spans="1:9" ht="37.799999999999997" customHeight="1" x14ac:dyDescent="0.3">
      <c r="A1" s="77" t="s">
        <v>38</v>
      </c>
      <c r="B1" s="78"/>
      <c r="C1" s="78"/>
      <c r="D1" s="78"/>
      <c r="E1" s="78"/>
      <c r="F1" s="78"/>
      <c r="G1" s="78"/>
      <c r="H1" s="64"/>
    </row>
    <row r="2" spans="1:9" ht="24.6" customHeight="1" x14ac:dyDescent="0.3">
      <c r="A2" s="62" t="s">
        <v>46</v>
      </c>
      <c r="B2" s="61"/>
      <c r="C2" s="60"/>
      <c r="D2" s="58"/>
      <c r="E2" s="58"/>
      <c r="F2" s="59"/>
      <c r="G2" s="60"/>
      <c r="H2" s="64"/>
    </row>
    <row r="3" spans="1:9" ht="31.8" customHeight="1" x14ac:dyDescent="0.3">
      <c r="A3" s="62" t="s">
        <v>47</v>
      </c>
      <c r="B3" s="61"/>
      <c r="C3" s="60"/>
      <c r="D3" s="58"/>
      <c r="E3" s="58"/>
      <c r="F3" s="59"/>
      <c r="G3" s="60"/>
      <c r="H3" s="64"/>
    </row>
    <row r="4" spans="1:9" ht="33.6" customHeight="1" x14ac:dyDescent="0.3">
      <c r="A4" s="62" t="s">
        <v>48</v>
      </c>
      <c r="B4" s="61"/>
      <c r="C4" s="60"/>
      <c r="D4" s="58"/>
      <c r="E4" s="58"/>
      <c r="F4" s="59"/>
      <c r="G4" s="60"/>
      <c r="H4" s="64"/>
    </row>
    <row r="5" spans="1:9" ht="25.2" customHeight="1" x14ac:dyDescent="0.3">
      <c r="A5" s="62" t="s">
        <v>53</v>
      </c>
      <c r="B5" s="61"/>
      <c r="C5" s="60"/>
      <c r="D5" s="58"/>
      <c r="E5" s="58"/>
      <c r="F5" s="59"/>
      <c r="G5" s="60"/>
      <c r="H5" s="64"/>
    </row>
    <row r="6" spans="1:9" ht="22.8" customHeight="1" x14ac:dyDescent="0.3">
      <c r="A6" s="62" t="s">
        <v>49</v>
      </c>
      <c r="B6" s="61"/>
      <c r="C6" s="60"/>
      <c r="D6" s="58"/>
      <c r="E6" s="58"/>
      <c r="F6" s="59"/>
      <c r="G6" s="60"/>
      <c r="H6" s="64"/>
    </row>
    <row r="7" spans="1:9" ht="28.2" customHeight="1" x14ac:dyDescent="0.3">
      <c r="A7" s="62" t="s">
        <v>50</v>
      </c>
      <c r="B7" s="61"/>
      <c r="C7" s="60"/>
      <c r="D7" s="58"/>
      <c r="E7" s="58"/>
      <c r="F7" s="59"/>
      <c r="G7" s="60"/>
      <c r="H7" s="64"/>
    </row>
    <row r="8" spans="1:9" ht="15" thickBot="1" x14ac:dyDescent="0.35"/>
    <row r="9" spans="1:9" ht="39.75" customHeight="1" thickBot="1" x14ac:dyDescent="0.35">
      <c r="A9" s="81" t="s">
        <v>10</v>
      </c>
      <c r="B9" s="82"/>
      <c r="C9" s="82"/>
      <c r="D9" s="82"/>
      <c r="E9" s="82"/>
      <c r="F9" s="83"/>
      <c r="G9" s="4"/>
    </row>
    <row r="10" spans="1:9" ht="12" customHeight="1" thickBot="1" x14ac:dyDescent="0.35">
      <c r="A10" s="3"/>
      <c r="C10" s="3"/>
      <c r="D10" s="3"/>
      <c r="E10" s="3"/>
      <c r="F10" s="3"/>
      <c r="G10" s="84" t="s">
        <v>45</v>
      </c>
      <c r="H10" s="85"/>
    </row>
    <row r="11" spans="1:9" ht="46.8" customHeight="1" thickBot="1" x14ac:dyDescent="0.35">
      <c r="A11" s="79" t="s">
        <v>34</v>
      </c>
      <c r="B11" s="80"/>
      <c r="C11" s="80"/>
      <c r="D11" s="80"/>
      <c r="E11" s="80"/>
      <c r="F11" s="80"/>
      <c r="G11" s="86"/>
      <c r="H11" s="87"/>
    </row>
    <row r="12" spans="1:9" ht="25.2" customHeight="1" x14ac:dyDescent="0.3">
      <c r="A12" s="11" t="s">
        <v>6</v>
      </c>
      <c r="B12" s="23" t="s">
        <v>7</v>
      </c>
      <c r="C12" s="18" t="s">
        <v>4</v>
      </c>
      <c r="D12" s="12" t="s">
        <v>1</v>
      </c>
      <c r="E12" s="12" t="s">
        <v>2</v>
      </c>
      <c r="F12" s="13" t="s">
        <v>5</v>
      </c>
      <c r="G12" s="88" t="s">
        <v>1</v>
      </c>
      <c r="H12" s="89" t="s">
        <v>5</v>
      </c>
    </row>
    <row r="13" spans="1:9" ht="98.4" customHeight="1" x14ac:dyDescent="0.3">
      <c r="A13" s="14">
        <v>1</v>
      </c>
      <c r="B13" s="24" t="s">
        <v>18</v>
      </c>
      <c r="C13" s="19" t="s">
        <v>0</v>
      </c>
      <c r="D13" s="37">
        <v>25.2</v>
      </c>
      <c r="E13" s="38">
        <v>5</v>
      </c>
      <c r="F13" s="91">
        <f>D13*E13</f>
        <v>126</v>
      </c>
      <c r="G13" s="90">
        <v>25.2</v>
      </c>
      <c r="H13" s="91">
        <f>G13*E13</f>
        <v>126</v>
      </c>
      <c r="I13" s="5"/>
    </row>
    <row r="14" spans="1:9" ht="93.6" customHeight="1" x14ac:dyDescent="0.3">
      <c r="A14" s="14">
        <v>2</v>
      </c>
      <c r="B14" s="24" t="s">
        <v>19</v>
      </c>
      <c r="C14" s="6" t="s">
        <v>0</v>
      </c>
      <c r="D14" s="38">
        <v>424.5</v>
      </c>
      <c r="E14" s="38">
        <v>1.5</v>
      </c>
      <c r="F14" s="91">
        <f t="shared" ref="F14:F35" si="0">D14*E14</f>
        <v>636.75</v>
      </c>
      <c r="G14" s="40">
        <v>324.5</v>
      </c>
      <c r="H14" s="91">
        <f t="shared" ref="H14:H35" si="1">G14*E14</f>
        <v>486.75</v>
      </c>
      <c r="I14" s="5"/>
    </row>
    <row r="15" spans="1:9" ht="150.6" x14ac:dyDescent="0.3">
      <c r="A15" s="14">
        <v>3</v>
      </c>
      <c r="B15" s="25" t="s">
        <v>20</v>
      </c>
      <c r="C15" s="6" t="s">
        <v>0</v>
      </c>
      <c r="D15" s="38">
        <v>91.75</v>
      </c>
      <c r="E15" s="38">
        <v>20</v>
      </c>
      <c r="F15" s="91">
        <f t="shared" si="0"/>
        <v>1835</v>
      </c>
      <c r="G15" s="40">
        <v>91.75</v>
      </c>
      <c r="H15" s="91">
        <f t="shared" si="1"/>
        <v>1835</v>
      </c>
      <c r="I15" s="5"/>
    </row>
    <row r="16" spans="1:9" ht="79.8" customHeight="1" x14ac:dyDescent="0.3">
      <c r="A16" s="14">
        <v>4</v>
      </c>
      <c r="B16" s="26" t="s">
        <v>21</v>
      </c>
      <c r="C16" s="6" t="s">
        <v>0</v>
      </c>
      <c r="D16" s="38">
        <v>25</v>
      </c>
      <c r="E16" s="38">
        <v>2</v>
      </c>
      <c r="F16" s="91">
        <f t="shared" si="0"/>
        <v>50</v>
      </c>
      <c r="G16" s="40">
        <v>25</v>
      </c>
      <c r="H16" s="91">
        <f t="shared" si="1"/>
        <v>50</v>
      </c>
      <c r="I16" s="5"/>
    </row>
    <row r="17" spans="1:9" ht="67.2" customHeight="1" x14ac:dyDescent="0.3">
      <c r="A17" s="14">
        <v>5</v>
      </c>
      <c r="B17" s="26" t="s">
        <v>22</v>
      </c>
      <c r="C17" s="6" t="s">
        <v>0</v>
      </c>
      <c r="D17" s="38">
        <v>20</v>
      </c>
      <c r="E17" s="38">
        <v>2</v>
      </c>
      <c r="F17" s="91">
        <f t="shared" si="0"/>
        <v>40</v>
      </c>
      <c r="G17" s="40">
        <v>20</v>
      </c>
      <c r="H17" s="91">
        <f t="shared" si="1"/>
        <v>40</v>
      </c>
      <c r="I17" s="5"/>
    </row>
    <row r="18" spans="1:9" ht="105.6" x14ac:dyDescent="0.3">
      <c r="A18" s="14">
        <v>6</v>
      </c>
      <c r="B18" s="27" t="s">
        <v>31</v>
      </c>
      <c r="C18" s="20" t="s">
        <v>0</v>
      </c>
      <c r="D18" s="37">
        <v>140.19999999999999</v>
      </c>
      <c r="E18" s="39">
        <v>22</v>
      </c>
      <c r="F18" s="91">
        <f t="shared" si="0"/>
        <v>3084.3999999999996</v>
      </c>
      <c r="G18" s="90">
        <v>140.19999999999999</v>
      </c>
      <c r="H18" s="91">
        <f t="shared" si="1"/>
        <v>3084.3999999999996</v>
      </c>
      <c r="I18" s="5"/>
    </row>
    <row r="19" spans="1:9" ht="45" x14ac:dyDescent="0.3">
      <c r="A19" s="14">
        <v>7</v>
      </c>
      <c r="B19" s="24" t="s">
        <v>23</v>
      </c>
      <c r="C19" s="6" t="s">
        <v>0</v>
      </c>
      <c r="D19" s="38">
        <v>24</v>
      </c>
      <c r="E19" s="38">
        <v>5</v>
      </c>
      <c r="F19" s="91">
        <f t="shared" si="0"/>
        <v>120</v>
      </c>
      <c r="G19" s="40">
        <v>24</v>
      </c>
      <c r="H19" s="91">
        <f t="shared" si="1"/>
        <v>120</v>
      </c>
      <c r="I19" s="5"/>
    </row>
    <row r="20" spans="1:9" ht="140.4" customHeight="1" x14ac:dyDescent="0.3">
      <c r="A20" s="14">
        <v>8</v>
      </c>
      <c r="B20" s="28" t="s">
        <v>26</v>
      </c>
      <c r="C20" s="21" t="s">
        <v>0</v>
      </c>
      <c r="D20" s="40">
        <v>10</v>
      </c>
      <c r="E20" s="40">
        <v>20</v>
      </c>
      <c r="F20" s="91">
        <f t="shared" si="0"/>
        <v>200</v>
      </c>
      <c r="G20" s="40">
        <v>10</v>
      </c>
      <c r="H20" s="91">
        <f t="shared" si="1"/>
        <v>200</v>
      </c>
      <c r="I20" s="5"/>
    </row>
    <row r="21" spans="1:9" ht="77.400000000000006" customHeight="1" x14ac:dyDescent="0.3">
      <c r="A21" s="14">
        <v>9</v>
      </c>
      <c r="B21" s="29" t="s">
        <v>24</v>
      </c>
      <c r="C21" s="22" t="s">
        <v>0</v>
      </c>
      <c r="D21" s="38">
        <v>5.7</v>
      </c>
      <c r="E21" s="38">
        <v>25</v>
      </c>
      <c r="F21" s="91">
        <f t="shared" si="0"/>
        <v>142.5</v>
      </c>
      <c r="G21" s="40">
        <v>5.7</v>
      </c>
      <c r="H21" s="91">
        <f t="shared" si="1"/>
        <v>142.5</v>
      </c>
      <c r="I21" s="5"/>
    </row>
    <row r="22" spans="1:9" ht="90" x14ac:dyDescent="0.3">
      <c r="A22" s="14">
        <v>10</v>
      </c>
      <c r="B22" s="30" t="s">
        <v>16</v>
      </c>
      <c r="C22" s="21" t="s">
        <v>3</v>
      </c>
      <c r="D22" s="40">
        <v>4</v>
      </c>
      <c r="E22" s="40">
        <v>110</v>
      </c>
      <c r="F22" s="91">
        <f t="shared" si="0"/>
        <v>440</v>
      </c>
      <c r="G22" s="40">
        <v>4</v>
      </c>
      <c r="H22" s="91">
        <f t="shared" si="1"/>
        <v>440</v>
      </c>
      <c r="I22" s="5"/>
    </row>
    <row r="23" spans="1:9" ht="90" x14ac:dyDescent="0.3">
      <c r="A23" s="14">
        <v>11</v>
      </c>
      <c r="B23" s="31" t="s">
        <v>13</v>
      </c>
      <c r="C23" s="21" t="s">
        <v>0</v>
      </c>
      <c r="D23" s="40">
        <v>20.7</v>
      </c>
      <c r="E23" s="40">
        <v>19</v>
      </c>
      <c r="F23" s="91">
        <f t="shared" si="0"/>
        <v>393.3</v>
      </c>
      <c r="G23" s="40">
        <v>0</v>
      </c>
      <c r="H23" s="91">
        <f t="shared" si="1"/>
        <v>0</v>
      </c>
      <c r="I23" s="5"/>
    </row>
    <row r="24" spans="1:9" ht="237.6" customHeight="1" x14ac:dyDescent="0.3">
      <c r="A24" s="14">
        <v>12</v>
      </c>
      <c r="B24" s="32" t="s">
        <v>25</v>
      </c>
      <c r="C24" s="21" t="s">
        <v>14</v>
      </c>
      <c r="D24" s="40">
        <v>22.5</v>
      </c>
      <c r="E24" s="40">
        <v>15</v>
      </c>
      <c r="F24" s="91">
        <f t="shared" si="0"/>
        <v>337.5</v>
      </c>
      <c r="G24" s="40">
        <v>0</v>
      </c>
      <c r="H24" s="91">
        <f t="shared" si="1"/>
        <v>0</v>
      </c>
      <c r="I24" s="5"/>
    </row>
    <row r="25" spans="1:9" ht="220.95" customHeight="1" x14ac:dyDescent="0.3">
      <c r="A25" s="14">
        <v>13</v>
      </c>
      <c r="B25" s="28" t="s">
        <v>37</v>
      </c>
      <c r="C25" s="21" t="s">
        <v>3</v>
      </c>
      <c r="D25" s="40">
        <v>1</v>
      </c>
      <c r="E25" s="40">
        <v>289</v>
      </c>
      <c r="F25" s="91">
        <f t="shared" si="0"/>
        <v>289</v>
      </c>
      <c r="G25" s="40">
        <v>0</v>
      </c>
      <c r="H25" s="91">
        <f t="shared" si="1"/>
        <v>0</v>
      </c>
      <c r="I25" s="5"/>
    </row>
    <row r="26" spans="1:9" ht="90" x14ac:dyDescent="0.3">
      <c r="A26" s="14">
        <v>14</v>
      </c>
      <c r="B26" s="24" t="s">
        <v>15</v>
      </c>
      <c r="C26" s="6" t="s">
        <v>14</v>
      </c>
      <c r="D26" s="38">
        <v>2.4</v>
      </c>
      <c r="E26" s="39">
        <v>60</v>
      </c>
      <c r="F26" s="91">
        <f t="shared" si="0"/>
        <v>144</v>
      </c>
      <c r="G26" s="40">
        <v>0</v>
      </c>
      <c r="H26" s="91">
        <f t="shared" si="1"/>
        <v>0</v>
      </c>
      <c r="I26" s="5"/>
    </row>
    <row r="27" spans="1:9" ht="105" x14ac:dyDescent="0.3">
      <c r="A27" s="14">
        <v>15</v>
      </c>
      <c r="B27" s="30" t="s">
        <v>29</v>
      </c>
      <c r="C27" s="21" t="s">
        <v>3</v>
      </c>
      <c r="D27" s="40">
        <v>1</v>
      </c>
      <c r="E27" s="40">
        <v>500</v>
      </c>
      <c r="F27" s="91">
        <f t="shared" si="0"/>
        <v>500</v>
      </c>
      <c r="G27" s="40">
        <v>0</v>
      </c>
      <c r="H27" s="91">
        <f t="shared" si="1"/>
        <v>0</v>
      </c>
      <c r="I27" s="5"/>
    </row>
    <row r="28" spans="1:9" ht="45" x14ac:dyDescent="0.3">
      <c r="A28" s="14">
        <v>16</v>
      </c>
      <c r="B28" s="24" t="s">
        <v>27</v>
      </c>
      <c r="C28" s="6" t="s">
        <v>11</v>
      </c>
      <c r="D28" s="38">
        <v>12</v>
      </c>
      <c r="E28" s="39">
        <v>7</v>
      </c>
      <c r="F28" s="91">
        <f t="shared" si="0"/>
        <v>84</v>
      </c>
      <c r="G28" s="40">
        <v>0</v>
      </c>
      <c r="H28" s="91">
        <f t="shared" si="1"/>
        <v>0</v>
      </c>
      <c r="I28" s="5"/>
    </row>
    <row r="29" spans="1:9" ht="45" x14ac:dyDescent="0.3">
      <c r="A29" s="14">
        <v>17</v>
      </c>
      <c r="B29" s="24" t="s">
        <v>17</v>
      </c>
      <c r="C29" s="6" t="s">
        <v>11</v>
      </c>
      <c r="D29" s="38">
        <v>12</v>
      </c>
      <c r="E29" s="39">
        <v>7</v>
      </c>
      <c r="F29" s="91">
        <f t="shared" si="0"/>
        <v>84</v>
      </c>
      <c r="G29" s="40">
        <v>0</v>
      </c>
      <c r="H29" s="91">
        <f t="shared" si="1"/>
        <v>0</v>
      </c>
      <c r="I29" s="5"/>
    </row>
    <row r="30" spans="1:9" s="9" customFormat="1" ht="263.39999999999998" customHeight="1" x14ac:dyDescent="0.25">
      <c r="A30" s="14">
        <v>18</v>
      </c>
      <c r="B30" s="24" t="s">
        <v>30</v>
      </c>
      <c r="C30" s="6" t="s">
        <v>3</v>
      </c>
      <c r="D30" s="41">
        <v>1</v>
      </c>
      <c r="E30" s="38">
        <v>822</v>
      </c>
      <c r="F30" s="91">
        <f t="shared" si="0"/>
        <v>822</v>
      </c>
      <c r="G30" s="92">
        <v>0</v>
      </c>
      <c r="H30" s="91">
        <f t="shared" si="1"/>
        <v>0</v>
      </c>
    </row>
    <row r="31" spans="1:9" s="9" customFormat="1" ht="45" x14ac:dyDescent="0.25">
      <c r="A31" s="14">
        <v>19</v>
      </c>
      <c r="B31" s="33" t="s">
        <v>28</v>
      </c>
      <c r="C31" s="6" t="s">
        <v>11</v>
      </c>
      <c r="D31" s="41">
        <v>2.5</v>
      </c>
      <c r="E31" s="38">
        <v>45</v>
      </c>
      <c r="F31" s="91">
        <f t="shared" si="0"/>
        <v>112.5</v>
      </c>
      <c r="G31" s="92">
        <v>0</v>
      </c>
      <c r="H31" s="91">
        <f t="shared" si="1"/>
        <v>0</v>
      </c>
    </row>
    <row r="32" spans="1:9" s="9" customFormat="1" ht="60" x14ac:dyDescent="0.25">
      <c r="A32" s="14">
        <v>20</v>
      </c>
      <c r="B32" s="33" t="s">
        <v>32</v>
      </c>
      <c r="C32" s="6" t="s">
        <v>3</v>
      </c>
      <c r="D32" s="41">
        <v>2</v>
      </c>
      <c r="E32" s="38">
        <v>30</v>
      </c>
      <c r="F32" s="91">
        <f t="shared" si="0"/>
        <v>60</v>
      </c>
      <c r="G32" s="92">
        <v>0</v>
      </c>
      <c r="H32" s="91">
        <f t="shared" si="1"/>
        <v>0</v>
      </c>
    </row>
    <row r="33" spans="1:12" s="9" customFormat="1" ht="69.599999999999994" customHeight="1" x14ac:dyDescent="0.25">
      <c r="A33" s="14">
        <v>21</v>
      </c>
      <c r="B33" s="33" t="s">
        <v>33</v>
      </c>
      <c r="C33" s="6" t="s">
        <v>14</v>
      </c>
      <c r="D33" s="41">
        <v>80</v>
      </c>
      <c r="E33" s="38">
        <v>15</v>
      </c>
      <c r="F33" s="91">
        <f t="shared" si="0"/>
        <v>1200</v>
      </c>
      <c r="G33" s="92">
        <v>0</v>
      </c>
      <c r="H33" s="91">
        <f t="shared" si="1"/>
        <v>0</v>
      </c>
    </row>
    <row r="34" spans="1:12" ht="67.8" customHeight="1" x14ac:dyDescent="0.3">
      <c r="A34" s="14">
        <v>22</v>
      </c>
      <c r="B34" s="45" t="s">
        <v>35</v>
      </c>
      <c r="C34" s="34" t="s">
        <v>3</v>
      </c>
      <c r="D34" s="42">
        <v>1</v>
      </c>
      <c r="E34" s="42">
        <v>380.1</v>
      </c>
      <c r="F34" s="91">
        <f t="shared" si="0"/>
        <v>380.1</v>
      </c>
      <c r="G34" s="93">
        <v>1</v>
      </c>
      <c r="H34" s="91">
        <f t="shared" si="1"/>
        <v>380.1</v>
      </c>
      <c r="I34" s="15"/>
      <c r="J34" s="16"/>
      <c r="K34" s="17"/>
    </row>
    <row r="35" spans="1:12" ht="71.400000000000006" customHeight="1" thickBot="1" x14ac:dyDescent="0.35">
      <c r="A35" s="35">
        <v>23</v>
      </c>
      <c r="B35" s="44" t="s">
        <v>36</v>
      </c>
      <c r="C35" s="36" t="s">
        <v>3</v>
      </c>
      <c r="D35" s="43">
        <v>2</v>
      </c>
      <c r="E35" s="43">
        <v>580</v>
      </c>
      <c r="F35" s="91">
        <f t="shared" si="0"/>
        <v>1160</v>
      </c>
      <c r="G35" s="94">
        <v>2</v>
      </c>
      <c r="H35" s="91">
        <f t="shared" si="1"/>
        <v>1160</v>
      </c>
      <c r="I35" s="15"/>
      <c r="J35" s="16"/>
      <c r="K35" s="17"/>
    </row>
    <row r="36" spans="1:12" ht="33" customHeight="1" thickBot="1" x14ac:dyDescent="0.35">
      <c r="E36" s="10" t="s">
        <v>9</v>
      </c>
      <c r="F36" s="7">
        <f>SUM(F13:F35)</f>
        <v>12241.050000000001</v>
      </c>
      <c r="G36" s="95"/>
      <c r="H36" s="96">
        <f>SUM(H13:H35)</f>
        <v>8064.75</v>
      </c>
      <c r="I36" s="15"/>
      <c r="J36" s="16"/>
      <c r="K36" s="17"/>
    </row>
    <row r="37" spans="1:12" ht="42" customHeight="1" thickBot="1" x14ac:dyDescent="0.35">
      <c r="E37" s="10" t="s">
        <v>8</v>
      </c>
      <c r="F37" s="8">
        <f>F36*0.18</f>
        <v>2203.3890000000001</v>
      </c>
      <c r="G37" s="15"/>
      <c r="H37" s="97">
        <f>H36*0.18</f>
        <v>1451.655</v>
      </c>
    </row>
    <row r="38" spans="1:12" ht="28.2" customHeight="1" thickBot="1" x14ac:dyDescent="0.4">
      <c r="E38" s="10" t="s">
        <v>12</v>
      </c>
      <c r="F38" s="46">
        <f>F36+F37</f>
        <v>14444.439000000002</v>
      </c>
      <c r="G38" s="98"/>
      <c r="H38" s="99">
        <f>H36+H37</f>
        <v>9516.4050000000007</v>
      </c>
    </row>
    <row r="39" spans="1:12" ht="23.25" customHeight="1" x14ac:dyDescent="0.3"/>
    <row r="40" spans="1:12" ht="79.2" customHeight="1" x14ac:dyDescent="0.3"/>
    <row r="41" spans="1:12" ht="35.4" customHeight="1" x14ac:dyDescent="0.3">
      <c r="A41" s="47"/>
      <c r="B41" s="74" t="s">
        <v>39</v>
      </c>
      <c r="C41" s="75"/>
      <c r="D41" s="75"/>
      <c r="E41" s="75"/>
      <c r="F41" s="75"/>
      <c r="G41" s="76"/>
      <c r="H41" s="63">
        <f>H38</f>
        <v>9516.4050000000007</v>
      </c>
      <c r="I41" s="57"/>
      <c r="J41" s="54"/>
      <c r="K41" s="54"/>
      <c r="L41" s="54"/>
    </row>
    <row r="42" spans="1:12" ht="22.5" customHeight="1" x14ac:dyDescent="0.3">
      <c r="A42" s="49"/>
      <c r="B42" s="48"/>
      <c r="C42" s="50"/>
      <c r="D42" s="51"/>
      <c r="E42" s="52"/>
      <c r="F42" s="53"/>
      <c r="G42" s="53"/>
      <c r="H42" s="50"/>
      <c r="I42" s="50"/>
      <c r="J42" s="54"/>
      <c r="K42" s="54"/>
      <c r="L42" s="54"/>
    </row>
    <row r="43" spans="1:12" ht="106.2" customHeight="1" x14ac:dyDescent="0.3">
      <c r="A43" s="49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</row>
    <row r="44" spans="1:12" ht="18" customHeight="1" x14ac:dyDescent="0.4">
      <c r="A44" s="49"/>
      <c r="B44" s="65" t="s">
        <v>40</v>
      </c>
      <c r="C44" s="66"/>
      <c r="D44" s="66"/>
      <c r="E44" s="67"/>
      <c r="G44" s="65" t="s">
        <v>41</v>
      </c>
      <c r="H44" s="68"/>
      <c r="I44" s="55"/>
      <c r="J44" s="54"/>
      <c r="K44" s="54"/>
      <c r="L44" s="54"/>
    </row>
    <row r="45" spans="1:12" ht="21" x14ac:dyDescent="0.4">
      <c r="A45" s="49"/>
      <c r="B45" s="69" t="s">
        <v>44</v>
      </c>
      <c r="C45" s="66"/>
      <c r="D45" s="67"/>
      <c r="E45" s="67"/>
      <c r="G45" s="69" t="s">
        <v>52</v>
      </c>
      <c r="H45" s="70"/>
      <c r="J45" s="54"/>
      <c r="K45" s="54"/>
      <c r="L45" s="54"/>
    </row>
    <row r="46" spans="1:12" ht="37.799999999999997" customHeight="1" x14ac:dyDescent="0.4">
      <c r="A46" s="49"/>
      <c r="B46" s="66" t="s">
        <v>42</v>
      </c>
      <c r="C46" s="66"/>
      <c r="D46" s="67"/>
      <c r="E46" s="67"/>
      <c r="G46" s="66" t="s">
        <v>43</v>
      </c>
      <c r="H46" s="66"/>
      <c r="J46" s="54"/>
      <c r="K46" s="54"/>
      <c r="L46" s="54"/>
    </row>
    <row r="47" spans="1:12" ht="20.399999999999999" x14ac:dyDescent="0.3">
      <c r="A47" s="49"/>
      <c r="B47" s="71" t="s">
        <v>51</v>
      </c>
      <c r="C47" s="71"/>
      <c r="D47" s="71"/>
      <c r="E47" s="71"/>
      <c r="G47" s="72" t="s">
        <v>51</v>
      </c>
      <c r="H47" s="73"/>
      <c r="I47" s="56"/>
      <c r="J47" s="54"/>
      <c r="K47" s="54"/>
      <c r="L47" s="54"/>
    </row>
  </sheetData>
  <mergeCells count="5">
    <mergeCell ref="B41:G41"/>
    <mergeCell ref="A1:G1"/>
    <mergeCell ref="A11:F11"/>
    <mergeCell ref="A9:F9"/>
    <mergeCell ref="G10:H11"/>
  </mergeCells>
  <pageMargins left="0.70866141732283472" right="0.70866141732283472" top="0.74803149606299213" bottom="0.74803149606299213" header="0.31496062992125984" footer="0.31496062992125984"/>
  <pageSetup scale="77" fitToHeight="0" orientation="portrait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Materniteti</dc:title>
  <dc:subject>Hospital</dc:subject>
  <dc:creator>Komuna e Podujeves</dc:creator>
  <cp:keywords>Fase 4</cp:keywords>
  <cp:lastModifiedBy>Gentrit Hyseni</cp:lastModifiedBy>
  <cp:lastPrinted>2025-08-17T22:42:32Z</cp:lastPrinted>
  <dcterms:created xsi:type="dcterms:W3CDTF">2014-04-11T08:35:16Z</dcterms:created>
  <dcterms:modified xsi:type="dcterms:W3CDTF">2025-11-18T22:52:06Z</dcterms:modified>
  <cp:category>Hospital</cp:category>
</cp:coreProperties>
</file>