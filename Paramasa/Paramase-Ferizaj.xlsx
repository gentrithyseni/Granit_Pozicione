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filterPrivacy="1" codeName="ThisWorkbook" defaultThemeVersion="124226"/>
  <xr:revisionPtr revIDLastSave="0" documentId="13_ncr:1_{FE03C372-9A1D-41B6-B794-4948E9CD51EC}" xr6:coauthVersionLast="47" xr6:coauthVersionMax="47" xr10:uidLastSave="{00000000-0000-0000-0000-000000000000}"/>
  <bookViews>
    <workbookView xWindow="-108" yWindow="-108" windowWidth="23256" windowHeight="12456" xr2:uid="{00000000-000D-0000-FFFF-FFFF00000000}"/>
  </bookViews>
  <sheets>
    <sheet name="Gjilan" sheetId="1" r:id="rId1"/>
  </sheets>
  <definedNames>
    <definedName name="_Toc465686911" localSheetId="0">Gjilan!$B$282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1" l="1"/>
  <c r="F249" i="1" l="1"/>
  <c r="F240" i="1"/>
  <c r="F241" i="1"/>
  <c r="F242" i="1"/>
  <c r="F243" i="1"/>
  <c r="F239" i="1"/>
  <c r="F152" i="1"/>
  <c r="F153" i="1"/>
  <c r="F151" i="1"/>
  <c r="F154" i="1" s="1"/>
  <c r="F101" i="1"/>
  <c r="F103" i="1"/>
  <c r="F105" i="1"/>
  <c r="F106" i="1"/>
  <c r="F107" i="1"/>
  <c r="F108" i="1"/>
  <c r="F100" i="1"/>
  <c r="E102" i="1" s="1"/>
  <c r="F102" i="1" s="1"/>
  <c r="F98" i="1"/>
  <c r="F84" i="1"/>
  <c r="F85" i="1"/>
  <c r="F86" i="1"/>
  <c r="F87" i="1"/>
  <c r="F88" i="1"/>
  <c r="F89" i="1"/>
  <c r="F90" i="1" s="1"/>
  <c r="F83" i="1"/>
  <c r="F78" i="1"/>
  <c r="F66" i="1"/>
  <c r="F67" i="1"/>
  <c r="F68" i="1"/>
  <c r="F69" i="1"/>
  <c r="F70" i="1"/>
  <c r="F71" i="1"/>
  <c r="F65" i="1"/>
  <c r="F42" i="1"/>
  <c r="F45" i="1" s="1"/>
  <c r="F43" i="1"/>
  <c r="F44" i="1"/>
  <c r="F41" i="1"/>
  <c r="F35" i="1"/>
  <c r="F36" i="1"/>
  <c r="F15" i="1"/>
  <c r="F16" i="1"/>
  <c r="F17" i="1"/>
  <c r="F18" i="1"/>
  <c r="F19" i="1"/>
  <c r="F20" i="1"/>
  <c r="F21" i="1"/>
  <c r="F14" i="1"/>
  <c r="F27" i="1"/>
  <c r="F208" i="1"/>
  <c r="F209" i="1"/>
  <c r="F210" i="1"/>
  <c r="F211" i="1"/>
  <c r="F212" i="1"/>
  <c r="F213" i="1"/>
  <c r="F214" i="1"/>
  <c r="F207" i="1"/>
  <c r="F215" i="1" s="1"/>
  <c r="F194" i="1"/>
  <c r="E181" i="1"/>
  <c r="F181" i="1" s="1"/>
  <c r="B271" i="1"/>
  <c r="B270" i="1"/>
  <c r="B269" i="1"/>
  <c r="B268" i="1"/>
  <c r="B267" i="1"/>
  <c r="B266" i="1"/>
  <c r="B265" i="1"/>
  <c r="B264" i="1"/>
  <c r="B259" i="1"/>
  <c r="B258" i="1"/>
  <c r="B257" i="1"/>
  <c r="B256" i="1"/>
  <c r="B255" i="1"/>
  <c r="B254" i="1"/>
  <c r="D248" i="1"/>
  <c r="F248" i="1" s="1"/>
  <c r="F234" i="1"/>
  <c r="F233" i="1"/>
  <c r="F232" i="1"/>
  <c r="F231" i="1"/>
  <c r="F230" i="1"/>
  <c r="F229" i="1"/>
  <c r="F235" i="1" s="1"/>
  <c r="F224" i="1"/>
  <c r="F225" i="1" s="1"/>
  <c r="F256" i="1" s="1"/>
  <c r="F219" i="1"/>
  <c r="F220" i="1" s="1"/>
  <c r="F255" i="1" s="1"/>
  <c r="F201" i="1"/>
  <c r="F200" i="1"/>
  <c r="F199" i="1"/>
  <c r="F193" i="1"/>
  <c r="F192" i="1"/>
  <c r="F195" i="1" s="1"/>
  <c r="F185" i="1"/>
  <c r="F184" i="1"/>
  <c r="F183" i="1"/>
  <c r="F182" i="1"/>
  <c r="F180" i="1"/>
  <c r="F178" i="1"/>
  <c r="F177" i="1"/>
  <c r="F175" i="1"/>
  <c r="F166" i="1"/>
  <c r="F165" i="1"/>
  <c r="F160" i="1"/>
  <c r="F266" i="1" s="1"/>
  <c r="F146" i="1"/>
  <c r="F145" i="1"/>
  <c r="F72" i="1" l="1"/>
  <c r="F244" i="1"/>
  <c r="F258" i="1" s="1"/>
  <c r="E179" i="1"/>
  <c r="F22" i="1"/>
  <c r="F250" i="1"/>
  <c r="F259" i="1" s="1"/>
  <c r="F257" i="1"/>
  <c r="F254" i="1"/>
  <c r="F202" i="1"/>
  <c r="F270" i="1" s="1"/>
  <c r="F269" i="1"/>
  <c r="F179" i="1"/>
  <c r="F186" i="1" s="1"/>
  <c r="E187" i="1" s="1"/>
  <c r="F187" i="1" s="1"/>
  <c r="F188" i="1" s="1"/>
  <c r="F268" i="1" s="1"/>
  <c r="F265" i="1"/>
  <c r="F147" i="1"/>
  <c r="F264" i="1" s="1"/>
  <c r="F161" i="1"/>
  <c r="F167" i="1"/>
  <c r="F267" i="1" s="1"/>
  <c r="F29" i="1"/>
  <c r="F260" i="1" l="1"/>
  <c r="F271" i="1" s="1"/>
  <c r="F272" i="1" s="1"/>
  <c r="E277" i="1" s="1"/>
  <c r="F119" i="1"/>
  <c r="F118" i="1"/>
  <c r="F117" i="1"/>
  <c r="F116" i="1"/>
  <c r="F120" i="1"/>
  <c r="B136" i="1"/>
  <c r="B135" i="1"/>
  <c r="B134" i="1"/>
  <c r="B133" i="1"/>
  <c r="B132" i="1"/>
  <c r="B131" i="1"/>
  <c r="B130" i="1"/>
  <c r="B129" i="1"/>
  <c r="B128" i="1"/>
  <c r="B127" i="1"/>
  <c r="B126" i="1"/>
  <c r="B125" i="1"/>
  <c r="E104" i="1"/>
  <c r="F104" i="1" s="1"/>
  <c r="F109" i="1" s="1"/>
  <c r="E110" i="1" s="1"/>
  <c r="F50" i="1"/>
  <c r="F49" i="1"/>
  <c r="F28" i="1"/>
  <c r="B137" i="1"/>
  <c r="F79" i="1"/>
  <c r="F134" i="1" s="1"/>
  <c r="F115" i="1"/>
  <c r="F55" i="1"/>
  <c r="F56" i="1" s="1"/>
  <c r="F131" i="1" s="1"/>
  <c r="F60" i="1"/>
  <c r="F61" i="1" s="1"/>
  <c r="F132" i="1" s="1"/>
  <c r="F121" i="1" l="1"/>
  <c r="F137" i="1" s="1"/>
  <c r="F135" i="1"/>
  <c r="F133" i="1"/>
  <c r="F37" i="1"/>
  <c r="F128" i="1" s="1"/>
  <c r="F30" i="1"/>
  <c r="F127" i="1" s="1"/>
  <c r="F126" i="1"/>
  <c r="F51" i="1"/>
  <c r="F130" i="1" s="1"/>
  <c r="F129" i="1"/>
  <c r="F110" i="1" l="1"/>
  <c r="F111" i="1" s="1"/>
  <c r="F136" i="1" s="1"/>
  <c r="F9" i="1"/>
  <c r="F8" i="1"/>
  <c r="F10" i="1" l="1"/>
  <c r="F125" i="1" s="1"/>
  <c r="F138" i="1" s="1"/>
  <c r="E276" i="1" s="1"/>
  <c r="E278" i="1" s="1"/>
</calcChain>
</file>

<file path=xl/sharedStrings.xml><?xml version="1.0" encoding="utf-8"?>
<sst xmlns="http://schemas.openxmlformats.org/spreadsheetml/2006/main" count="512" uniqueCount="179">
  <si>
    <t xml:space="preserve">  PUNËT PËRGATITORE</t>
  </si>
  <si>
    <t xml:space="preserve">Përshkrimi i pozicionit </t>
  </si>
  <si>
    <t>POS</t>
  </si>
  <si>
    <t>Njësia</t>
  </si>
  <si>
    <t>Sasia</t>
  </si>
  <si>
    <t xml:space="preserve">Çmimi </t>
  </si>
  <si>
    <t>Gjithsej</t>
  </si>
  <si>
    <t>Masat e sigurisë: Duhet të jenë në nivelin më të lartë për arsye të ruajtjes së shëndetit të personave që punojnë dhe jetojnë afër punishtes. Pra në këte mënyrë duhet të bëhet rrethimi sa më i mirë i punishtes dhe vendosjes së materialeve në të si dhe të mirren masat e nevojshme të sigurisë (preventiva) hapësinore në mes të zonës nën ndërtim dhe zonave të tjera të cilat mbeten në shfrytëzim gjatë fazës së punimeve Materialet nuk duhet të dalin jashtë rrethojes së punishtes. 
Punishtja të rrethohet me tabela prej llamarine dhe me konstruksion të përforcuar mirë në tokë. Para fillimit të punimeve punëkryesi duhet që në kosto të parasheh edhe çkyqjen e instalimeve eksistuese në fillim të ekzekutimit të punimeve si dhe rikyqjen e instalimeve pas realizimit të punimeve si dhe punimet dhe masat e nevojshme për  konzervimin të instalimeve ekzistuese te cilat ngelen në shërbim (funksion) gjatë dhe pas realizimit të punimeve.
Për çdo ndryshim të mundshëm në projekt gjatë realizimit të punimeve duhet të konsultohet organi mbikëqyrës dhe projektantin.</t>
  </si>
  <si>
    <t>Për secilin pozicion ku janë përmendur  karakteristikat teknike të prodhuesit mund të përdoren materiale me karakterisika të ngjajshme të prodhuesve të ndryshëm në përputhje me standardet EC dhe ISO.</t>
  </si>
  <si>
    <t xml:space="preserve">komplet </t>
  </si>
  <si>
    <t xml:space="preserve">Mbrojtja e zdrukthtaris se mbrendeshme dhe te jashtme   ne  objekt. dritareve dhe dyerve ,inventari dhe elementeve tjera dekorative ne murte e  administrates   ne ato vende ku nuk jene parapar riparime  dhe sanime për të parandaluar dëmtimet fizike gjatë ekzekutimit të punimeve. Siguriimi  të bëni me tre shtresa: nga folia e PVC 
Llogaritja për e sipërfaqeve të murit të mbuluar me mbrojtje Llogaritja për komplet </t>
  </si>
  <si>
    <t>Gjithesejt punime  pregaditore:</t>
  </si>
  <si>
    <t>I</t>
  </si>
  <si>
    <t>II</t>
  </si>
  <si>
    <t xml:space="preserve">PUNËT E NGJYROSJES DHE MOLERIMIT </t>
  </si>
  <si>
    <t xml:space="preserve"> Gjithësejt punime të ngjyrosjës dhe molerimit:</t>
  </si>
  <si>
    <t>Pastrimi perfundimtar I punishtes nga mbeturinat e mundeshme te materialeve nderimore,ngarkimi me transport deri ne deponi. Llog ne komplet</t>
  </si>
  <si>
    <t xml:space="preserve">Blerja, furnizimi dhe ngjyrosja e mureve (molerimi) me ngjyrë të yndyrshme, të cilat përzihen me mikser në një enë të posaqme, pastaj bëhet molerimi (ngjyrosja) në dy shtresa deri sa të arrihet toni dhe nuanca e ngjyrës se deshiruar nga investitori. Në ҫmim përfshihet , grryerja , rrafshimi , nivelizimi këndeve Horizontale dhe vertikaleve , suvatimi me gledë , dhe ngjyrosja me ngjyrë deri në tonin dhe nuancën  e deshiruarë të ngjyrës nga investitori. Llog në m2. </t>
  </si>
  <si>
    <t>Ngjyrosja e i tavaneve të suvatuara me ngjyre dispresive. Para se të fillohet ngjyrosja, sipërfaqja duhet të jetë e ilustruara dhe pastaj të veshura me Substrate A në dy shtresa. Unikolor S duhet të hidhet deri në 5% me ujë dhe të realizohet në dy shtresa të ngjyrës. Distanca midis shtresave të para dhe të dyta është 2-4 orë. Sipërfaqet e dëmtuara duhet të jenë plotësisht të thata para fillimit ngjyrosjes. Para fillimit të ngjyrosjes, në bashkëpunim me projektuesin, bëhen mostra prove. Llogaritja për m2 e pllafoneve me ngjyrë.</t>
  </si>
  <si>
    <t>Pastrimi përfundimtarë pas përfundimit të punimeve, ku bëhet pastrimi i detajuar gjeneral në të gjithë lokacionin e ndërtimit, Llog komplet</t>
  </si>
  <si>
    <t>Për shkak të mungesës së projektit elektrikës tek objekti ekzistues i cili do të rinovohet, gjatë ekzekutimi punimeve  mund të dalin punë të pa parapara të cilat do të llogariten komplet në funksionalitetin e objekti duke llogaritur të gjitha shpenzimet. Llog Komplet</t>
  </si>
  <si>
    <t>Para furnizimi , duhet kontrrollohen të  gjitha masat e dyerve nga  brenda dhe jashtë . Në ҫmim përfshihet të  gjitha punë t e nevojshme te  muratimit dhe molerimit  në  mbushjen e hapsirave dhe vrimave si dhe finalizimin e vendosjes së tyre.</t>
  </si>
  <si>
    <t>Perde me shirita dhet te menaxhohen me ndihmën e vargjeve dhe zinxhirëve. Ato mund të hapen në mënyrë të njëanshme ose dypalëshe  gjë që ofron mundësinë për të arritur nivelin e dëshiruar të shkëlqimit në çdo kohë.brendësinë dhe mbroni veten nga pamjet e padëshiruara dhe rrezet e dëmshme të diellit me ndihmën e blindave</t>
  </si>
  <si>
    <t>m²</t>
  </si>
  <si>
    <t>komplet</t>
  </si>
  <si>
    <t>Gjithësejt punime të dyshemes:</t>
  </si>
  <si>
    <t>Gjithësejt punime të zdurkthtarise :</t>
  </si>
  <si>
    <r>
      <t>PUNIMET E P</t>
    </r>
    <r>
      <rPr>
        <b/>
        <sz val="12"/>
        <color theme="1"/>
        <rFont val="Calibri"/>
        <family val="2"/>
      </rPr>
      <t>Ë</t>
    </r>
    <r>
      <rPr>
        <b/>
        <sz val="12"/>
        <color theme="1"/>
        <rFont val="Times New Roman"/>
        <family val="1"/>
      </rPr>
      <t>RDEVE ME TRAKA VERTIKALE P</t>
    </r>
    <r>
      <rPr>
        <b/>
        <sz val="12"/>
        <color theme="1"/>
        <rFont val="Calibri"/>
        <family val="2"/>
      </rPr>
      <t>Ë</t>
    </r>
    <r>
      <rPr>
        <b/>
        <sz val="12"/>
        <color theme="1"/>
        <rFont val="Times New Roman"/>
        <family val="1"/>
      </rPr>
      <t>R DRITARE</t>
    </r>
  </si>
  <si>
    <r>
      <t>PUNIMET E ELEKTRIKES - NDRI</t>
    </r>
    <r>
      <rPr>
        <b/>
        <sz val="12"/>
        <color theme="1"/>
        <rFont val="Calibri"/>
        <family val="2"/>
      </rPr>
      <t>Ç</t>
    </r>
    <r>
      <rPr>
        <b/>
        <sz val="12"/>
        <color theme="1"/>
        <rFont val="Times New Roman"/>
        <family val="1"/>
      </rPr>
      <t>IMIT</t>
    </r>
  </si>
  <si>
    <t>PUNIMËT E ZDRUKTHTARIS</t>
  </si>
  <si>
    <t>PUNIMËT E DYSHEMEVE</t>
  </si>
  <si>
    <t>Gjithësejt punime të Elektrikes :</t>
  </si>
  <si>
    <t>Gjithësejt punime të ndrysheme :</t>
  </si>
  <si>
    <t xml:space="preserve">copë </t>
  </si>
  <si>
    <t>A</t>
  </si>
  <si>
    <t>REKAITLLIMI I PUNIMEVE</t>
  </si>
  <si>
    <t>III</t>
  </si>
  <si>
    <t>IV</t>
  </si>
  <si>
    <t>V</t>
  </si>
  <si>
    <t>VI</t>
  </si>
  <si>
    <t>VII</t>
  </si>
  <si>
    <t>IX</t>
  </si>
  <si>
    <t>X</t>
  </si>
  <si>
    <t>XI</t>
  </si>
  <si>
    <t>PUNIMET E NDRYSHËME</t>
  </si>
  <si>
    <t>Gjithësejt punime të Perdeve :</t>
  </si>
  <si>
    <t>TOTALI ME 18% TVSH</t>
  </si>
  <si>
    <t xml:space="preserve">Sigurimi i punishtes .Sigurimi të bëhet përmes shenjave përkatese te cilat krijojnë siguri dhe zhvillim normal të punimeve në gjithë orarin sipas kërkesave të investitorit.Llog ne komplet </t>
  </si>
  <si>
    <t>TOTALI ME 18% TVSH:</t>
  </si>
  <si>
    <t>Masat e sigurisë: Duhet të jenë në nivelin më të lartë për arsye të ruajtjes së shëndetit të personave që punojnë dhe jetojnë afër punishtes. Pra, në këte mënyrë duhet të bëhet rrethimi sa më i mirë i punishtes dhe vendosjes së materialeve në të si dhe të mErren masat e nevojshme të sigurisë së hapësirës në mes të zonës nën ndërtim dhe zonave të tjera të cilat mbeten në shfrytëzim gjatë fazës së punimeve. Materialet nuk duhet të dalin jashtë rrethojes së punishtes. 
Punishtja të rrethohet me tabela prej llamarinës dhe me konstruksion të përforcuar mirë në tokë. Para fillimit të punimeve punëkryesi duhet që në kosto të parasheh edhe çkyqjen e instalimeve ekzistuese në fillim të ekzekutimit të punimeve si dhe rikyqjen e instalimeve pas realizimit të punimeve si dhe punimet dhe masat e nevojshme për ruajtjen e instalimeve ekzistuese të cilat ngelin në shërbim (funksion) gjatë dhe pas realizimit të punimeve.
Për çdo ndryshim të mundshëm në projekt gjatë realizimit të punimeve duhet të konsultohet organi mbikëqyrës dhe projektanti. Shënim: Për secilin pozicion ku janë përmendur  karakteristikat teknike të prodhuesit mund të përdoren materiale me karakterisika të ngjajshme të prodhuesve të ndryshëm në përputhje me standardet EC dhe ISO.</t>
  </si>
  <si>
    <t>Sigurimi i punishtes - Sigurimi të bëhet përmes shenjave përkatese te cilat krijojnë siguri dhe zhvillim normal të punimeve përgjatë gjithë orarit sipas kërkesave të investitorit.</t>
  </si>
  <si>
    <t>Gjithesejt punët përgatitore:</t>
  </si>
  <si>
    <t xml:space="preserve">Mbrojtja e zdrukthtarisë së mbrendeshme dhe të jashtme në objekt, pra, dritareve dhe dyerve, inventarit dhe elementeve të tjera dekorative ne muret e  objektit në ato vende ku nuk janë paraparë riparime dhe sanime për të parandaluar dëmtimet fizike gjatë ekzekutimit të punimeve. Sigurimi të bëhet me dy shtresa: foli dhe PVC. 
Llogaritja për e sipërfaqeve të murit të mbuluar me mbrojtje Llogaritja për komplet </t>
  </si>
  <si>
    <t xml:space="preserve"> Gjithësejt punët e ngjyrosjes dhe molerimit:</t>
  </si>
  <si>
    <t>REKAPITULLIMI I PUNIMEVE</t>
  </si>
  <si>
    <t>REKAITLLIMI I PËRGJITHSHËM</t>
  </si>
  <si>
    <t>C</t>
  </si>
  <si>
    <t>Furnizimi Transporti, punimi si dhe montimi i  dyshemesë  nga Laminati më dizajn "Natur" ose e përshtatshme, nga dyshemeja me dimensione  t=14 mm, çmimi përfshin furnizimin e transportin dhe montimin  e dyshemes në dyshemenë ekzistuese të konzumuar  (rënuar), montimin e folies prej najloni PVC 2 mm, montimin e dyshemes  si dhe montimi i shiritave adekuatë të skajit ne perimetrin e kthines. Lajsne kendore.Llogaritja për m2 e dyshemesë  se punuar.</t>
  </si>
  <si>
    <t>Para furnizimi , duhet kontrrollohen të  gjitha masat e dritareve nga  brenda  . Në ҫmim përfshihet të  gjitha punë te nevojshme Demolimi I përdeve egzistuese si dhe  mbushjen e hapsirave dhe vrimave , molerimit  si dhe finalizimin e tyre.</t>
  </si>
  <si>
    <t>Pnimet e  pa specifikara ne projekt te cilat  e munde te shfaqen gjate realizimit te projektite me te gjitha shpenzimet .Renovimi I Tavanit te nyjeve sanitare Llog ne komplet</t>
  </si>
  <si>
    <t>PUNËT E DEMONTIMIT</t>
  </si>
  <si>
    <t>Mbrojtja dhe zhvendosja e mobiljeve ekzistuese. Nga vendi ku do te intervenohet Mobiljet dhe inventari duhet te dislokohen në zona të veçanta brenda objektit që e përcakton
investitori.Llogaritja sipas tarifës standarde për komplet</t>
  </si>
  <si>
    <t>Gjithesejt punime  demontuese:</t>
  </si>
  <si>
    <t>m'</t>
  </si>
  <si>
    <t>copë</t>
  </si>
  <si>
    <r>
      <t>Materiali i imtë për montim dhe lëshimi në punë.Ri</t>
    </r>
    <r>
      <rPr>
        <sz val="11"/>
        <color theme="1"/>
        <rFont val="Calibri"/>
        <family val="2"/>
      </rPr>
      <t>P</t>
    </r>
    <r>
      <rPr>
        <sz val="11"/>
        <color theme="1"/>
        <rFont val="Times New Roman"/>
        <family val="1"/>
      </rPr>
      <t>arime te mndeshme me fyza neonka ,Priza,nderPresa,Neonka poce elektrike Llog Komplet</t>
    </r>
  </si>
  <si>
    <t xml:space="preserve">PUNIMËT E SANITARISË </t>
  </si>
  <si>
    <t>Blerja, transporti dhe instalimi i një Gaske për WC me të gjithë elementët e nevojshëm të lidhëse fazonike për funskionalizim të plotë.Llog komplet</t>
  </si>
  <si>
    <t>Gjithësejt punime të  sanitaris:</t>
  </si>
  <si>
    <t>copë.</t>
  </si>
  <si>
    <t>Demolimi - gërryerja e suvasë ekzistuese nga muret dhe bartja e materialit të demoluarte demoluar me taransport vertikal dhe horizontal   deri në deponinë administrative apo deponi e caktuar nga organi mbikëqyrës.. .Llog në m2</t>
  </si>
  <si>
    <t>Demolimi I prizave elektrike dhe trupave ndriçues si dhe largimi I materialit deri në deponinë e caktuar nga organi mbikëqyrës.Llog në copë</t>
  </si>
  <si>
    <t xml:space="preserve">Blerja, furnizimi dhe punimi I suvatimit te siperfaqeve te mureve ,per te krijuar bazen e rrafsht me llaq vazhdues me siperfaqe te % minimale dhe maksimale te cimentos (5:2.5:0.5) me trashesi max 10 mm.duke perfshir edhe para lyerjen me ngjites ,rrjete te perforcuar polikarbon  dhe ankorimet metalike ,ne kuader te suvatimeve duhet te parashikohet suvatimi edhe me shtresa me te trasha se 10 mm duke perdorur rrjetime perforcuese nga polikarboni dhe suvatimet shtres mbi shtres (sipas nevojes ne pozicionin specifik. .Llog në m2. </t>
  </si>
  <si>
    <t>Dyshemeja pastrohet nga mbeturinat e llaqit , gëlqeres dhe përbërsve tjerë. Nëse është e nevojshme për heqjen dhe pastrimin e mbeturinave të përforcuar përdoret zbutës i përshtatshëm apo aplikohet larja me ujë.  Llog në m2 katror për sipërfaqen e pastruar duke llogaritur edhe pjesët e sipërme ,pastrimin e llamarinës në kanalet e ventillimit , nxemjes dhe radiatoreve instalimeve elektrike. Në ҫmim përfshihet fuqia punëtore për pastrim , mjetet e pastrimit , detergjentet.Llogaritja për m2</t>
  </si>
  <si>
    <t>PUNIMËT E KERAMIKES</t>
  </si>
  <si>
    <t xml:space="preserve">Furnizimi, transporti dhe montimi i pllakave 30/30 horizontale të porcelanit (të klasit të parë) me ngjitës në dysheme te toaleteve sipas skemës së projektit. Vendosja e pllakave ne dysheme te behet pa fuga (fuge prej 1 mm e lejuar). Ne llogari te meret edhe ngjitesi perkates. Llogaria të bëhet në m² te siperfaqes se punuar. </t>
  </si>
  <si>
    <t xml:space="preserve">Furnizimi me material dhe vendosja e pllakave në muret e tualeteve në , naltesi perimetrike te mureve    Pllakat të jenë të kualitetit të parë  në çmim parashihen edhe ngjitësi i pllakave ARDUTIT X7G si dhe këndoret skajore në mure po ashtu nga graniti në lartësi 50 cm. Nuanca e e cakton investitori. Pllakat të vendosen pa fuga.Llog në m2. </t>
  </si>
  <si>
    <t>Gjithësejt punime të keramikës:</t>
  </si>
  <si>
    <t>Llampa e plafonit me poq LED 22w. Llampa përdoret për ndriçimin e koridoreve dhe tualeteve.Llog në copë me të gjitha shpenzimet</t>
  </si>
  <si>
    <t>Nderpres të thjeshtë 10A dy modulësh për vendosje në murë.Llog në copë me të gjitha shpenzimet</t>
  </si>
  <si>
    <t>Kuti dymodulare e plastikës e kompletuar me kornizë metalike dhe bulona  per vendosje te shteqeve ose nderpresve.Llog në copë me të gjitha shpenzimet</t>
  </si>
  <si>
    <t>Materiali i imtë për montim dhe lëshimi në punë.Llog Komplet</t>
  </si>
  <si>
    <t>VIII</t>
  </si>
  <si>
    <t>Llampa LED me dimenzione mm për vendosje në pllafon të rrafshët. Llampa është e ndertuar nga llamarina e ngjyrosur me ngjyrë të bardhë me proces të plastifikimit. Llampa ka fuqi 50w dhe jep ngjyrë ditore 4200K. Llampa përdoret për ndriqimin e hapsirave të zyreve dhe ambienteve punuese .Llog në copë me të gjitha shpenzimet</t>
  </si>
  <si>
    <t>Shteqe njëfazore Dy fazore tre fazore njëmodulëshe  për vendosje në murë (10-16)A.Llog në copë me të gjitha shpenzimet</t>
  </si>
  <si>
    <t>INSTALIMET E UJËSJELLËSIT</t>
  </si>
  <si>
    <t>Gjithësejt punime të ujesjellesit:</t>
  </si>
  <si>
    <t>INSTALIMET E KANALIZIMIT</t>
  </si>
  <si>
    <t>Gjithësejt punime të  kanalizimeve:</t>
  </si>
  <si>
    <t>Blerja, transporti dhe instalimi i një pasqyre me të gjithë elementët e nevojshëm të lidhëse  për funskionalizim të plotë.Llog komplet</t>
  </si>
  <si>
    <t>Blerja, transporti dhe instalimi i një lavabo  i kompletuar me rubinet dhe elementë lidhës përcjellëse.per uje te nxehet dhe te ftofet.Llog komple</t>
  </si>
  <si>
    <t>Blerja, transporti dhe instalimi i një Bojleri elektrik 10 Litra me të gjithë elementët e nevojshëm të lidhëse  për funskionalizim të plotë.Llog komplet</t>
  </si>
  <si>
    <t xml:space="preserve">Blerja, transporti dhe montimi I ujembledhesave ne dy tualete dhe ne koridorit </t>
  </si>
  <si>
    <t>XII</t>
  </si>
  <si>
    <t>XIII</t>
  </si>
  <si>
    <r>
      <t>PARAMASA DHE PARALLOGARITJA E PUNIMËVE T</t>
    </r>
    <r>
      <rPr>
        <b/>
        <sz val="12"/>
        <color theme="1"/>
        <rFont val="Calibri"/>
        <family val="2"/>
      </rPr>
      <t>Ë</t>
    </r>
    <r>
      <rPr>
        <b/>
        <sz val="12"/>
        <color theme="1"/>
        <rFont val="Times New Roman"/>
        <family val="1"/>
      </rPr>
      <t xml:space="preserve"> RENOVIMIT TE ZYREVE ADMINISTRATIVE  T</t>
    </r>
    <r>
      <rPr>
        <b/>
        <sz val="12"/>
        <color theme="1"/>
        <rFont val="Calibri"/>
        <family val="2"/>
      </rPr>
      <t>Ë</t>
    </r>
    <r>
      <rPr>
        <b/>
        <sz val="12"/>
        <color theme="1"/>
        <rFont val="Times New Roman"/>
        <family val="1"/>
      </rPr>
      <t xml:space="preserve">  PENSIONEVE  NË GJILAN</t>
    </r>
  </si>
  <si>
    <t>PARAMASA DHE PARALLOGARITJA E PUNIMËVE TË RENOVIMIT TE ZYREVE ADMINISTRATIVE  TË  PENSIONEVE  NË FERIZAJ</t>
  </si>
  <si>
    <r>
      <t>Furnizimi, me material te nevojeshem  transporti dhe montimi I  instalimit i tubave plastikë HDPE  Per shperndarjen e ujit  1/2 "në pjesën e Tualeteve  me të gjitha elemente përcjellëse fazonike. sipas zgjidhjes te prezentuar  Në çmimi llogariten te perfshihet edhe vendosja e nje kutie shperndares si dhe valvulat me elemente percjellese  per funksionalizimin e ujesjellsit ne tualete. si edhe depërtimet nep</t>
    </r>
    <r>
      <rPr>
        <sz val="11"/>
        <color theme="1"/>
        <rFont val="Calibri"/>
        <family val="2"/>
      </rPr>
      <t>ë</t>
    </r>
    <r>
      <rPr>
        <sz val="11"/>
        <color theme="1"/>
        <rFont val="Times New Roman"/>
        <family val="1"/>
      </rPr>
      <t>r mure dhe lidhje  me rrjetin vertikal ekzistues në tualete dhe kuzhine Llog n</t>
    </r>
    <r>
      <rPr>
        <sz val="11"/>
        <color theme="1"/>
        <rFont val="Calibri"/>
        <family val="2"/>
      </rPr>
      <t xml:space="preserve">ë </t>
    </r>
    <r>
      <rPr>
        <sz val="11"/>
        <color theme="1"/>
        <rFont val="Times New Roman"/>
        <family val="1"/>
      </rPr>
      <t>komplet</t>
    </r>
  </si>
  <si>
    <r>
      <t>Furnizimi, transporti dhe instalimi i tubave PVC të profileve të ndryshme, Ø50;Ø75 dhe Ø110 ne kanalizimin e mbrendeshem  me uje mbledhesa horizontal sipas zgjidhjes te re te krijuar te prezentuar ne dokumentacinin teknik si lidhja me rrjetin ekzistuesvertikal  te kanalizimeve në ndërtesë. Në çmimi llogariten edhe depërtimet nep</t>
    </r>
    <r>
      <rPr>
        <sz val="11"/>
        <color theme="1"/>
        <rFont val="Calibri"/>
        <family val="2"/>
      </rPr>
      <t>ë</t>
    </r>
    <r>
      <rPr>
        <sz val="11"/>
        <color theme="1"/>
        <rFont val="Times New Roman"/>
        <family val="1"/>
      </rPr>
      <t>r  mure dhe konstruksion te meskateve (pllaka) dhe lidhje  me rrjetin ekzistues në vertikalet egzistuese   si dhe rehabilitimin e mureve dhe siperfaqeve horizontale .Llog komplet</t>
    </r>
  </si>
  <si>
    <t>Blerja, transporti dhe instalimi i një Pisoari për WC me të gjithë elementët e nevojshëm të lidhëse fazonike për funskionalizim të plotë.Llog komplet</t>
  </si>
  <si>
    <t>Blerja, transporti dhe instalimi i një një kabineti dy pjesesh per pjesen e kuzhines me të gjithë elementët e nevojshëm të lidhëse per uje te nxehet dhe te ftofet. për funskionalizim të plotë.Llog komplet</t>
  </si>
  <si>
    <t xml:space="preserve">Demontimi I dyerve ekzistuese me dimenzione të ndryshme  ne tualet si dhe bartja me transport vertikal dhe horizontal deri në deponinë administrative apo deponi e caktuar nga organi mbikëqyrës.Llog në copë. </t>
  </si>
  <si>
    <t xml:space="preserve">Demolimi I Elementeve te sanitaris dhe trupave sanitar ( WC guaska me komplet kazanin per shperlarje,elementet lidhese fazonike si dhe armaturat,Bojlerit elektrik 10L me te gjitha elementet percjellese. si dhe Lavamani dhe nje lavabo komplet me elementet lidhese, largimi pisoareve dhe ujembledhsave te dyshemeve I materialit te demoluar me taransport vertikal dhe horizontal   deri në deponinë administrative apo deponi e caktuar nga organi mbikëqyrës.Llog në copë. </t>
  </si>
  <si>
    <t>Demolimi i dyshemes nga laminati  ,  në hapësirat e zyreve  dhe kthinave Largimi I materialit te demoluar me taransport vertikal dhe horizontal deri në deponinë administrative apo deponi e caktuar nga organi mbikëqyrës.Llog në m2</t>
  </si>
  <si>
    <t xml:space="preserve">Furnizimi dhe punimi i dyerve të mbrendeshme  nje kraheshe nga Zdrukthtaria e materialit nga PVC.Per hapje te shfrytesohen tre bagloma .Dera te paiset me dorzes dhe cilinder braven me tre qelsa Dera te kete pragun . EPDM digtuma nga goma Dyert te pregaditen me bagloma adekuat Hapjet dhe ndarjet sipas shemes .Llog ne copë                                                                                        -dimenzione  80x205  cm </t>
  </si>
  <si>
    <t xml:space="preserve">Furnizimi dhe punimi i dyerve të mbrendeshme  nje kraheshe nga Zdrukthtaria e materialit nga druri.Per hapje te shfrytesohen tre bagloma .Dera te paiset me dorzes dhe cilinder braven me tre qelsa Dera te kete pragun nga druri i bungut me trashesi prej 3 cm. EPDM digtuma nga goma Dyert te pregaditen me bagloma adekuat Hapjet dhe ndarjet sipas shemes .Llog ne copë                                                                                        -dimenzione  90x205  cm </t>
  </si>
  <si>
    <t xml:space="preserve">Blerja, furnizimi dhe shtruarja e estrihut ne tualete. T=3 deri 50 cm.Llog në m2. . </t>
  </si>
  <si>
    <t>Produktet e ndryshme duhet të ju referohen ketyre standardeve: Kolektorët sipas standardit UNI EN ISO 9001, Gypat e galvanizuar: në përputhje me standardin DM 174-ISO 9001, Produktet Ferroli ose të ngjajshme sipas standardit  EN483, Valvolat të ndryshme të certifikuara me standard UNI 8065:2019, Gypat Al/Pex sipas standardeve: UNI EN ISO 9001, ISO 14001, BS OHSAS 18001, ISO 45001:2018</t>
  </si>
  <si>
    <t>Kontraktuesi I projektit ka per obligim furnizimin dhe montimin e sistemit te ngrohjes, klimatizimit dhe ventilimit te ojektit me te gjitha produktet dhe elemetet percjellese te parapar ne paramasë.</t>
  </si>
  <si>
    <t xml:space="preserve">TRUPAT NGROHES/FTOHES </t>
  </si>
  <si>
    <t>Klimë inverter - FERROLI-Modeli :GIADA 18000BTU:, Qng/Qft=5,570 kW / 5,270 kW , furnizimi me rryme220/240 V - 1 phase - 50Hz-ose te ngjajshme, Dim njesiabrendshme:957x302x213 mm dhe Dim njesia jashtme: 800x70x554x333 mm</t>
  </si>
  <si>
    <t>Gyp Cu-Bakri</t>
  </si>
  <si>
    <t xml:space="preserve"> Cu 1/2" mm</t>
  </si>
  <si>
    <t>m</t>
  </si>
  <si>
    <t xml:space="preserve"> Cu 1/4" mm</t>
  </si>
  <si>
    <t>Fitingu me presim për gypat e bakrit si mbajtësat, kthesat, tegeli, gasi për saldim etj. është 70% nga pozicioni i gypave 12</t>
  </si>
  <si>
    <t>%</t>
  </si>
  <si>
    <t>Gypit PE per largimin e kondezatit  Ø32 mm</t>
  </si>
  <si>
    <t>Fitingu për gypat e kondenzatit si mbajtësat, kthesat, tegeli, gasi për saldim etj. është 40% nga pozicioni i gypave 4</t>
  </si>
  <si>
    <t>Kablla per furnizim me rryme 5x2.5 mm</t>
  </si>
  <si>
    <t>Kablla per furnizim me rryme 3x2.5 mm</t>
  </si>
  <si>
    <t>Mbajtese te klimes</t>
  </si>
  <si>
    <t>Montimi dhe leshimi ne pune</t>
  </si>
  <si>
    <t>Pastrimi I kthinave si dhe pregaditja e punimeve per realizimin e ihidrozolimeve ne nivelin e ngrohjes qendrore,dhe depos se peletit .Në çmim te parashifet rrafshimi me nje shtres te estrihut dhe izolimi me nje shtres kondor ,Punimet te kryhen sipas standardeve te cilat vlekjn per kesi lloj punime.Llogaritur ne m2</t>
  </si>
  <si>
    <t xml:space="preserve">Furnizimi, transporti dhe montimi i pllakave 30/30 horizontale të teracos (të klasit të parë) me ngjitës në dysheme te depos dhe kaldatores. Vendosja e pllakave ne dysheme te behet pa fuga (fuge prej 1 mm e lejuar). Ne llogari te meret edhe ngjitesi perkates si dhe cokla prej 10 cm. Llogaria të bëhet në m² te siperfaqes se punuar. </t>
  </si>
  <si>
    <t xml:space="preserve">Mbrojtja e zdrukthtaris se mbrendeshme dhe te jashtme   ne  objekt. dritareve dhe dyerve ,inventari dhe paisjeve te ngrohjes jene parapar riparime  dhe sanime për të parandaluar dëmtimet fizike gjatë ekzekutimit të punimeve. Siguriimi  të bëni me tre shtresa: nga folia e PVC 
Llogaritja për e sipërfaqeve të dshemeve të mbuluar me mbrojtje Llogaritja për komplet </t>
  </si>
  <si>
    <t xml:space="preserve">Pastrimi dhe funksionalizimi I pusetave shiritore dhe atyre kontrolluese ne pjesen e kufizimit te kthinave te cilat do te trajtohen depo dhe kalldaja  Llogaritja për komplet </t>
  </si>
  <si>
    <t xml:space="preserve">Furnizimi, transporti dhe montimi i pllakave 30/30 horizontale të porcelanit (të klasit të parë) me ngjitës në dysheme te toaleteve sipas skemës së projektit. Vendosja e pllakave ne dysheme te behet pa fuga (fuge prej 1 mm e lejuar). Ne llogari te meret edhe ngjitesi perkates dhe punimi i cokles h=10 cm. Llogaria të bëhet në m² te siperfaqes se punuar. </t>
  </si>
  <si>
    <t>Servisimi I dyerve te objektit nga materialet e ndryshme nga druri PVC Alumini , servisimi kupton me riparimin apo zavendesimin me pjes tereja si dorza per hapje dhe mbyllje,brava me cilinder dhe celsa dhe baglloma  si dhe shtellovatje te krahvete dyerve.Llog ne cope</t>
  </si>
  <si>
    <t>cope</t>
  </si>
  <si>
    <t>Gjithesejt Klima</t>
  </si>
  <si>
    <t>Klima</t>
  </si>
  <si>
    <r>
      <t>Blerja, transporti dhe montimi i p</t>
    </r>
    <r>
      <rPr>
        <sz val="11"/>
        <color theme="1"/>
        <rFont val="Calibri"/>
        <family val="2"/>
      </rPr>
      <t>ë</t>
    </r>
    <r>
      <rPr>
        <sz val="11"/>
        <color theme="1"/>
        <rFont val="Times New Roman"/>
        <family val="1"/>
      </rPr>
      <t>rdeve me traka i kompletuar me elementë lidhës përcjellëse.Ngjyren dhe dizajnin e cakton investitoriLlog komplet</t>
    </r>
  </si>
  <si>
    <t xml:space="preserve">Furnizimi dhe punimi i deres të mbrendeshme  nje kraheshe te blinduar .Per hapje te shfrytesohen tre bagloma .Dera te paiset me dorzes dhe cilinder braven me tre qelsa Dera te kete pragun nga druri i bungut me trashesi prej 3 cm. EPDM digtuma nga goma Dyert te pregaditen me bagloma adekuat Hapjet dhe ndarjet sipas shemes .Llog ne copë                                                                                        -dimenzione  90x205  cm </t>
  </si>
  <si>
    <t>Demolimi i dyshemeve ng pllakat e kermaikës në hapësirat e tualeteve  si Largimi I materialit te demoluar me taransport vertikal dhe horizontal deri në deponinë administrative apo deponi e caktuar nga organi mbikëqyrës.rejtje Mundë të ndodhe se keramikat e mureve munde te jene ne dy  shtresa (keramik mbi keramik).Llog në m2</t>
  </si>
  <si>
    <t>Demolimi i pllakave të mureve , kermaikës në hapësirat e tualetevee  dhe kthinave Largimi I materialit te demoluar me taransport vertikal dhe horizontal deri në deponinë administrative apo deponi e caktuar nga organi mbikëqyrës.Vrejtje Mundë të ndodhe se keramikat e mureve munde te jene ne dy  shtresa (keramik mbi keramik). Llog në m2</t>
  </si>
  <si>
    <t>Demolimi I estrih betonit dhe hidroizolimeve  ne siperfaqet e tualeteve te cilat do te trajtohen .Materiali I demoluar me transport deri ne deponin të cilin e cakton Investitori.Llog ne komplet</t>
  </si>
  <si>
    <t>Demilimi  I kaanalizimit  egzistues  me kujdes të shtuar  nga gypat e materialit te gusit  në të gjithe vertikalen e tualeteve si dhe degezimet të cilat do të trajtohen Prej pjeses së Bodrumit deri ne siperfaqen e kulmit (ajerimit) .Materiali i demoluar me transport deri ne deponin të cilin e cakton Investitoriv.Llog në komplet</t>
  </si>
  <si>
    <t>Demilimi  I Ujësjellesit  egzistues  me kujdes të shtuar  nga gypat e materialit te Zingut në të gjithe vertikalen e tualeteve si dhe degezimet të cilat do të trajtohen Prej pjeses së Bodrumit deri ne katin e III-të .Materiali i demoluar me transport deri ne deponin të cilin e cakton Investitoriv.Llog në komplet</t>
  </si>
  <si>
    <t>PUNIME NË  RREGULLIMIN E TUALETEVE</t>
  </si>
  <si>
    <t>PUNIMET E DEMOLIMIT</t>
  </si>
  <si>
    <t>Gjithësejt punime të demolimi:</t>
  </si>
  <si>
    <t>INSTALIMI I KANALIZIMIT</t>
  </si>
  <si>
    <t>8.1.1</t>
  </si>
  <si>
    <t>8.1.2</t>
  </si>
  <si>
    <t>8.1.3</t>
  </si>
  <si>
    <t>8.1.4</t>
  </si>
  <si>
    <t>8.1.5</t>
  </si>
  <si>
    <t>8.1.6</t>
  </si>
  <si>
    <t>8.1.7</t>
  </si>
  <si>
    <t>8..1.8</t>
  </si>
  <si>
    <r>
      <t>Furnizimi, transporti dhe instalimi i tubave PVC të profileve të ndryshme, Ø50;Ø75 dhe Ø110 ne kanalizimin e mbrendeshem  me uje mbledhesa horizontal sipas zgjidhjes te re te krijuar te prezentuar ne dokumentacinin teknik si lidhja me rrjetin ekzistuesvertikal  te kanalizimeve në ndërtesë. Në çmimi llogariten edhe depërtimet nep</t>
    </r>
    <r>
      <rPr>
        <sz val="11"/>
        <color theme="1"/>
        <rFont val="Calibri"/>
        <family val="2"/>
      </rPr>
      <t>ë</t>
    </r>
    <r>
      <rPr>
        <sz val="11"/>
        <color theme="1"/>
        <rFont val="Times New Roman"/>
        <family val="1"/>
      </rPr>
      <t>r  mure dhe konstruksion te meskateve (pllaka) dhe lidhje  me rrjetin ekzistues në vertikalet egzistuese   si dhe rehabilitimin e mureve dhe siperfaqeve horizontale .Në mbi kulm te realizohet ajerimi me koka ventiluese dhe llamarin e gjithe sipas normave dhe standardeve te cilat jene ne fuqi Llog komplet</t>
    </r>
  </si>
  <si>
    <t>8.2.1</t>
  </si>
  <si>
    <t>8.3.1</t>
  </si>
  <si>
    <t>8.4.1</t>
  </si>
  <si>
    <t>8.4.2</t>
  </si>
  <si>
    <t>8.4.3</t>
  </si>
  <si>
    <t>8.4.4</t>
  </si>
  <si>
    <t>8.4.5</t>
  </si>
  <si>
    <t>8.4.6</t>
  </si>
  <si>
    <t>8.5.1</t>
  </si>
  <si>
    <t xml:space="preserve"> PUNIMET E SUVATIMEVE , NIVELIZIMEVE DHE IZOLIMEVE</t>
  </si>
  <si>
    <t>8.5.2</t>
  </si>
  <si>
    <t>Furnizimi me material dhe vendosja e kandeve metalike ne te gjitha qoshet e mureve dhe pllafoneve per te fituar kande te drejta.Llog në m'</t>
  </si>
  <si>
    <t>Furnizimi transportimi dhe punimi i fasades ne pllafonin e tualeteve WC-ve.Llog në m²</t>
  </si>
  <si>
    <t>8.5.3</t>
  </si>
  <si>
    <t>8.5.4</t>
  </si>
  <si>
    <t>Furnizimi, transportimi dhe suvatimi I mureve dhe pllafoneve me llaq vazhdues me përpjesë 1:2:6 në dy shtresa me spërkatje të mëparshme me llaq të holluar çimentoje.Ne çmim duhet te llogaritet edhe vendosja e rrjetes per pengimin e plasaritjeve.Llog në m²</t>
  </si>
  <si>
    <t>Furnizimi me material dhe shtruarja e estrih betonit d=5cm. Ne qmim  te llogaritet edhe stiropori I presuar N4 me trashesi prej 5cm si dhe PVC-folia .Llog në m²</t>
  </si>
  <si>
    <t>Furnizimi , transportimi, punimi dhe vendosja e hidroizolimit horizontal me një lyerje të ftohtë (ardex ose te ngjajshem) në pllakën e dyshemesë te nyjeve sanitare me ngritje ne mure me lartesi min 50cm.Llog në m²</t>
  </si>
  <si>
    <t>8.5.5</t>
  </si>
  <si>
    <t>Gjithësejt punime të  suvatimit,nivelizimit dhe izolimit:</t>
  </si>
  <si>
    <t>8.6.1</t>
  </si>
  <si>
    <t>8.6.2</t>
  </si>
  <si>
    <t>REKAPITULLIMI I PUNIMEVE NE TUALETE</t>
  </si>
  <si>
    <t>Gjithësejt punime në tualete:</t>
  </si>
  <si>
    <t>Gjithsej: Për 1 Klimë</t>
  </si>
  <si>
    <t xml:space="preserve">     Renovimi I zyrave regjionale të pensioneve në Gjilanë</t>
  </si>
  <si>
    <t xml:space="preserve">     Renovimi I zyrave  regjionale të pensioneve në Ferizaj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</si>
</sst>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 [$€-1]"/>
  </numFmts>
  <fonts count="22" x14ac:knownFonts="1">
    <font>
      <sz val="11"/>
      <color theme="1"/>
      <name val="Calibri"/>
      <family val="2"/>
      <scheme val="minor"/>
    </font>
    <font>
      <sz val="11"/>
      <color theme="1"/>
      <name val="Times New Roman"/>
      <family val="1"/>
    </font>
    <font>
      <b/>
      <sz val="12"/>
      <color theme="1"/>
      <name val="Times New Roman"/>
      <family val="1"/>
    </font>
    <font>
      <b/>
      <sz val="11"/>
      <color theme="1"/>
      <name val="Times New Roman"/>
      <family val="1"/>
    </font>
    <font>
      <sz val="11"/>
      <color theme="1"/>
      <name val="Calibri"/>
      <family val="2"/>
    </font>
    <font>
      <b/>
      <sz val="12"/>
      <color theme="1"/>
      <name val="Calibri"/>
      <family val="2"/>
      <scheme val="minor"/>
    </font>
    <font>
      <b/>
      <sz val="12"/>
      <color theme="1"/>
      <name val="Calibri"/>
      <family val="2"/>
    </font>
    <font>
      <b/>
      <sz val="14"/>
      <color theme="1"/>
      <name val="Calibri"/>
      <family val="2"/>
      <scheme val="minor"/>
    </font>
    <font>
      <sz val="12"/>
      <color theme="1"/>
      <name val="Times New Roman"/>
      <family val="1"/>
    </font>
    <font>
      <sz val="12"/>
      <color theme="1"/>
      <name val="Calibri"/>
      <family val="2"/>
      <scheme val="minor"/>
    </font>
    <font>
      <sz val="11"/>
      <name val="Times New Roman"/>
      <family val="1"/>
    </font>
    <font>
      <sz val="10"/>
      <name val="Arial"/>
      <family val="2"/>
    </font>
    <font>
      <b/>
      <sz val="11"/>
      <name val="Times New Roman"/>
      <family val="1"/>
    </font>
    <font>
      <sz val="10"/>
      <name val="Times New Roman"/>
      <family val="1"/>
    </font>
    <font>
      <b/>
      <sz val="10"/>
      <name val="Times New Roman"/>
      <family val="1"/>
    </font>
    <font>
      <sz val="11"/>
      <color rgb="FF000000"/>
      <name val="Times New Roman"/>
      <family val="1"/>
    </font>
    <font>
      <b/>
      <sz val="11"/>
      <color rgb="FF000000"/>
      <name val="Times New Roman"/>
      <family val="1"/>
    </font>
    <font>
      <sz val="11"/>
      <color theme="1"/>
      <name val="Calibri"/>
      <family val="2"/>
      <scheme val="minor"/>
    </font>
    <font>
      <b/>
      <sz val="11"/>
      <color theme="1"/>
      <name val="Calibri"/>
      <family val="2"/>
      <scheme val="minor"/>
    </font>
    <font>
      <b/>
      <sz val="14"/>
      <color theme="1"/>
      <name val="Times New Roman"/>
      <family val="1"/>
    </font>
    <font>
      <sz val="10"/>
      <color theme="1"/>
      <name val="Times New Roman"/>
      <family val="1"/>
    </font>
    <font>
      <sz val="11"/>
      <color rgb="FFFF0000"/>
      <name val="Times New Roman"/>
      <family val="1"/>
    </font>
  </fonts>
  <fills count="8">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C00000"/>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7">
    <xf numFmtId="0" fontId="0"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43" fontId="17" fillId="0" borderId="0" applyFont="0" applyFill="0" applyBorder="0" applyAlignment="0" applyProtection="0"/>
  </cellStyleXfs>
  <cellXfs count="275">
    <xf numFmtId="0" fontId="0" fillId="0" borderId="0" xfId="0"/>
    <xf numFmtId="0" fontId="1" fillId="0" borderId="0" xfId="0" applyFont="1"/>
    <xf numFmtId="0" fontId="1" fillId="0" borderId="1" xfId="0" applyFont="1" applyBorder="1" applyAlignment="1">
      <alignment horizontal="center" vertical="center"/>
    </xf>
    <xf numFmtId="0" fontId="8" fillId="0" borderId="0" xfId="0" applyFont="1"/>
    <xf numFmtId="164" fontId="0" fillId="0" borderId="0" xfId="0" applyNumberFormat="1"/>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1" fillId="2" borderId="1" xfId="0" applyFont="1" applyFill="1" applyBorder="1" applyAlignment="1">
      <alignment horizontal="left" vertical="top" wrapText="1"/>
    </xf>
    <xf numFmtId="0" fontId="1" fillId="2" borderId="0" xfId="0" applyFont="1" applyFill="1"/>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vertical="center"/>
    </xf>
    <xf numFmtId="0" fontId="1" fillId="2" borderId="1" xfId="0" applyFont="1" applyFill="1" applyBorder="1" applyAlignment="1">
      <alignment vertical="top" wrapText="1"/>
    </xf>
    <xf numFmtId="0" fontId="1" fillId="2" borderId="0" xfId="0" applyFont="1" applyFill="1" applyAlignment="1">
      <alignment horizontal="center" vertical="center"/>
    </xf>
    <xf numFmtId="0" fontId="0" fillId="2" borderId="0" xfId="0" applyFill="1"/>
    <xf numFmtId="164" fontId="8" fillId="0" borderId="0" xfId="0" applyNumberFormat="1" applyFont="1"/>
    <xf numFmtId="0" fontId="1" fillId="2" borderId="1" xfId="0" applyFont="1" applyFill="1" applyBorder="1"/>
    <xf numFmtId="0" fontId="2" fillId="2" borderId="0" xfId="0" applyFont="1" applyFill="1" applyAlignment="1">
      <alignment horizontal="right" vertical="center"/>
    </xf>
    <xf numFmtId="0" fontId="1" fillId="2" borderId="0" xfId="0" applyFont="1" applyFill="1" applyAlignment="1">
      <alignment horizontal="center" vertical="center" wrapText="1"/>
    </xf>
    <xf numFmtId="0" fontId="1" fillId="2" borderId="14" xfId="0" applyFont="1" applyFill="1" applyBorder="1"/>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8" fillId="2" borderId="0" xfId="0" applyFont="1" applyFill="1"/>
    <xf numFmtId="0" fontId="8" fillId="2" borderId="1" xfId="0" applyFont="1" applyFill="1" applyBorder="1" applyAlignment="1">
      <alignment horizontal="center" vertical="center"/>
    </xf>
    <xf numFmtId="0" fontId="8" fillId="2" borderId="1" xfId="0" applyFont="1" applyFill="1" applyBorder="1"/>
    <xf numFmtId="0" fontId="8" fillId="2" borderId="1" xfId="0" applyFont="1" applyFill="1" applyBorder="1" applyAlignment="1">
      <alignment wrapText="1"/>
    </xf>
    <xf numFmtId="0" fontId="8" fillId="2" borderId="1" xfId="0" applyFont="1" applyFill="1" applyBorder="1" applyAlignment="1">
      <alignment horizontal="center" vertical="center" wrapText="1"/>
    </xf>
    <xf numFmtId="2" fontId="8" fillId="2" borderId="1" xfId="0" applyNumberFormat="1" applyFont="1" applyFill="1" applyBorder="1" applyAlignment="1">
      <alignment horizontal="center" vertical="center" wrapText="1"/>
    </xf>
    <xf numFmtId="0" fontId="8" fillId="2" borderId="1" xfId="0" applyFont="1" applyFill="1" applyBorder="1" applyAlignment="1">
      <alignment horizontal="left" vertical="top" wrapText="1"/>
    </xf>
    <xf numFmtId="0" fontId="8" fillId="2" borderId="8" xfId="0" applyFont="1" applyFill="1" applyBorder="1" applyAlignment="1">
      <alignment horizontal="center" vertical="center"/>
    </xf>
    <xf numFmtId="0" fontId="2" fillId="3" borderId="10" xfId="0" applyFont="1" applyFill="1" applyBorder="1" applyAlignment="1">
      <alignment vertical="center" wrapText="1"/>
    </xf>
    <xf numFmtId="0" fontId="7"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0" xfId="0" applyFont="1" applyFill="1" applyBorder="1" applyAlignment="1">
      <alignment horizontal="left" vertical="top" wrapText="1"/>
    </xf>
    <xf numFmtId="0" fontId="1" fillId="2" borderId="10" xfId="0" applyFont="1" applyFill="1" applyBorder="1" applyAlignment="1">
      <alignment horizontal="right" vertical="center"/>
    </xf>
    <xf numFmtId="0" fontId="1" fillId="2" borderId="10" xfId="0" applyFont="1" applyFill="1" applyBorder="1" applyAlignment="1">
      <alignment horizontal="center" vertical="center"/>
    </xf>
    <xf numFmtId="2" fontId="1" fillId="2" borderId="10" xfId="0" applyNumberFormat="1" applyFont="1" applyFill="1" applyBorder="1" applyAlignment="1">
      <alignment horizontal="center" vertical="center"/>
    </xf>
    <xf numFmtId="0" fontId="1" fillId="2" borderId="5" xfId="0" applyFont="1" applyFill="1" applyBorder="1" applyAlignment="1">
      <alignment horizontal="left" vertical="top" wrapText="1"/>
    </xf>
    <xf numFmtId="0" fontId="8" fillId="2" borderId="10"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2" borderId="8" xfId="0" applyFont="1" applyFill="1" applyBorder="1" applyAlignment="1">
      <alignment horizontal="left" vertical="top" wrapText="1"/>
    </xf>
    <xf numFmtId="2" fontId="1" fillId="2" borderId="8" xfId="0" applyNumberFormat="1" applyFont="1" applyFill="1" applyBorder="1" applyAlignment="1">
      <alignment horizontal="center" vertical="center"/>
    </xf>
    <xf numFmtId="0" fontId="1" fillId="2" borderId="21" xfId="0" applyFont="1" applyFill="1" applyBorder="1" applyAlignment="1">
      <alignment vertical="top" wrapText="1"/>
    </xf>
    <xf numFmtId="0" fontId="1" fillId="2" borderId="7" xfId="0" applyFont="1" applyFill="1" applyBorder="1" applyAlignment="1">
      <alignment horizontal="center" vertical="center"/>
    </xf>
    <xf numFmtId="0" fontId="1" fillId="2" borderId="18" xfId="0" applyFont="1" applyFill="1" applyBorder="1" applyAlignment="1">
      <alignment horizontal="center" vertical="center"/>
    </xf>
    <xf numFmtId="0" fontId="1" fillId="2" borderId="18" xfId="0" applyFont="1" applyFill="1" applyBorder="1" applyAlignment="1">
      <alignment horizontal="left" vertical="top" wrapText="1"/>
    </xf>
    <xf numFmtId="2" fontId="1" fillId="2" borderId="18" xfId="0" applyNumberFormat="1" applyFont="1" applyFill="1" applyBorder="1" applyAlignment="1">
      <alignment horizontal="center" vertical="center"/>
    </xf>
    <xf numFmtId="0" fontId="1" fillId="2" borderId="24" xfId="0" applyFont="1" applyFill="1" applyBorder="1" applyAlignment="1">
      <alignment horizontal="center" vertical="center"/>
    </xf>
    <xf numFmtId="0" fontId="1" fillId="2" borderId="19" xfId="0" applyFont="1" applyFill="1" applyBorder="1" applyAlignment="1">
      <alignment horizontal="left" vertical="top" wrapText="1"/>
    </xf>
    <xf numFmtId="0" fontId="1" fillId="2" borderId="19" xfId="0" applyFont="1" applyFill="1" applyBorder="1" applyAlignment="1">
      <alignment horizontal="center" vertical="center"/>
    </xf>
    <xf numFmtId="2" fontId="1" fillId="2" borderId="19"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1" xfId="0" applyFont="1" applyFill="1" applyBorder="1" applyAlignment="1">
      <alignment horizontal="left" vertical="top" wrapText="1"/>
    </xf>
    <xf numFmtId="0" fontId="10" fillId="2" borderId="8" xfId="0" applyFont="1" applyFill="1" applyBorder="1" applyAlignment="1">
      <alignment horizontal="center" vertical="center"/>
    </xf>
    <xf numFmtId="0" fontId="1" fillId="0" borderId="1" xfId="0" applyFont="1" applyBorder="1" applyAlignment="1">
      <alignment horizontal="left" vertical="top" wrapText="1"/>
    </xf>
    <xf numFmtId="0" fontId="13" fillId="0" borderId="10" xfId="1" applyFont="1" applyBorder="1" applyAlignment="1">
      <alignment horizontal="center" vertical="center"/>
    </xf>
    <xf numFmtId="0" fontId="10" fillId="0" borderId="10" xfId="1" applyFont="1" applyBorder="1" applyAlignment="1">
      <alignment horizontal="center" vertical="center"/>
    </xf>
    <xf numFmtId="0" fontId="9" fillId="2" borderId="0" xfId="0" applyFont="1" applyFill="1"/>
    <xf numFmtId="0" fontId="9" fillId="0" borderId="0" xfId="0" applyFont="1"/>
    <xf numFmtId="0" fontId="1" fillId="0" borderId="10" xfId="1" applyFont="1" applyBorder="1" applyAlignment="1">
      <alignment vertical="center" wrapText="1"/>
    </xf>
    <xf numFmtId="0" fontId="10" fillId="0" borderId="10" xfId="0" applyFont="1" applyBorder="1" applyAlignment="1">
      <alignment horizontal="center" vertical="center"/>
    </xf>
    <xf numFmtId="0" fontId="10" fillId="0" borderId="10" xfId="0" applyFont="1" applyBorder="1" applyAlignment="1">
      <alignment horizontal="center" vertical="center" wrapText="1"/>
    </xf>
    <xf numFmtId="0" fontId="1" fillId="2" borderId="10" xfId="0" applyFont="1" applyFill="1" applyBorder="1" applyAlignment="1">
      <alignment horizontal="left" vertical="center" wrapText="1"/>
    </xf>
    <xf numFmtId="0" fontId="13" fillId="0" borderId="25" xfId="1" applyFont="1" applyBorder="1" applyAlignment="1">
      <alignment horizontal="right" vertical="center"/>
    </xf>
    <xf numFmtId="0" fontId="1" fillId="0" borderId="16" xfId="1" applyFont="1" applyBorder="1" applyAlignment="1">
      <alignment vertical="center" wrapText="1"/>
    </xf>
    <xf numFmtId="0" fontId="13" fillId="0" borderId="1" xfId="1" applyFont="1" applyBorder="1" applyAlignment="1">
      <alignment horizontal="center" vertical="center"/>
    </xf>
    <xf numFmtId="4" fontId="10" fillId="2" borderId="1" xfId="0" applyNumberFormat="1" applyFont="1" applyFill="1" applyBorder="1" applyAlignment="1">
      <alignment horizontal="center" vertical="center"/>
    </xf>
    <xf numFmtId="0" fontId="13" fillId="0" borderId="17" xfId="1" applyFont="1" applyBorder="1" applyAlignment="1">
      <alignment horizontal="right" vertical="center"/>
    </xf>
    <xf numFmtId="0" fontId="12" fillId="0" borderId="1" xfId="1" applyFont="1" applyBorder="1" applyAlignment="1">
      <alignment horizontal="right" vertical="center"/>
    </xf>
    <xf numFmtId="0" fontId="12" fillId="0" borderId="1" xfId="1" applyFont="1" applyBorder="1" applyAlignment="1">
      <alignment horizontal="center" vertical="center"/>
    </xf>
    <xf numFmtId="0" fontId="14" fillId="0" borderId="1" xfId="1" applyFont="1" applyBorder="1" applyAlignment="1">
      <alignment horizontal="center" vertical="center"/>
    </xf>
    <xf numFmtId="0" fontId="2" fillId="3" borderId="10" xfId="0" applyFont="1" applyFill="1" applyBorder="1" applyAlignment="1">
      <alignment horizontal="center" vertical="top"/>
    </xf>
    <xf numFmtId="0" fontId="3" fillId="2" borderId="10" xfId="0" applyFont="1" applyFill="1" applyBorder="1"/>
    <xf numFmtId="0" fontId="8" fillId="2" borderId="10" xfId="0" applyFont="1" applyFill="1" applyBorder="1" applyAlignment="1">
      <alignment horizontal="right" vertical="center"/>
    </xf>
    <xf numFmtId="0" fontId="8" fillId="5" borderId="1" xfId="0" applyFont="1" applyFill="1" applyBorder="1" applyAlignment="1">
      <alignment horizontal="center" vertical="center"/>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2" fontId="8" fillId="2" borderId="10" xfId="0" applyNumberFormat="1" applyFont="1" applyFill="1" applyBorder="1" applyAlignment="1">
      <alignment horizontal="center" vertical="center"/>
    </xf>
    <xf numFmtId="0" fontId="8" fillId="2" borderId="10" xfId="0" applyFont="1" applyFill="1" applyBorder="1" applyAlignment="1">
      <alignment horizontal="left" vertical="top" wrapText="1"/>
    </xf>
    <xf numFmtId="0" fontId="8" fillId="2" borderId="10" xfId="0" applyFont="1" applyFill="1" applyBorder="1" applyAlignment="1">
      <alignment vertical="center"/>
    </xf>
    <xf numFmtId="0" fontId="3" fillId="2" borderId="0" xfId="0" applyFont="1" applyFill="1" applyAlignment="1">
      <alignment horizontal="center" vertical="center"/>
    </xf>
    <xf numFmtId="0" fontId="3" fillId="2" borderId="0" xfId="0" applyFont="1" applyFill="1" applyAlignment="1">
      <alignment horizontal="right" vertical="center"/>
    </xf>
    <xf numFmtId="0" fontId="1" fillId="0" borderId="10" xfId="0" applyFont="1" applyBorder="1" applyAlignment="1">
      <alignment horizontal="center" vertical="center" wrapText="1"/>
    </xf>
    <xf numFmtId="0" fontId="1" fillId="3" borderId="10" xfId="0" applyFont="1" applyFill="1" applyBorder="1" applyAlignment="1">
      <alignment horizontal="center" vertical="center" wrapText="1"/>
    </xf>
    <xf numFmtId="0" fontId="2" fillId="2" borderId="0" xfId="0" applyFont="1" applyFill="1" applyAlignment="1">
      <alignment horizontal="right" vertical="top" wrapText="1"/>
    </xf>
    <xf numFmtId="0" fontId="8" fillId="5" borderId="8" xfId="0" applyFont="1" applyFill="1" applyBorder="1" applyAlignment="1">
      <alignment horizontal="center" vertical="center"/>
    </xf>
    <xf numFmtId="0" fontId="8" fillId="5" borderId="8" xfId="0" applyFont="1" applyFill="1" applyBorder="1" applyAlignment="1">
      <alignment horizontal="center" vertical="top"/>
    </xf>
    <xf numFmtId="0" fontId="8" fillId="5" borderId="10" xfId="0" applyFont="1" applyFill="1" applyBorder="1" applyAlignment="1">
      <alignment horizontal="center" vertical="top"/>
    </xf>
    <xf numFmtId="0" fontId="8" fillId="5" borderId="2" xfId="0" applyFont="1" applyFill="1" applyBorder="1" applyAlignment="1">
      <alignment horizontal="left" vertical="top"/>
    </xf>
    <xf numFmtId="0" fontId="8" fillId="5" borderId="3" xfId="0" applyFont="1" applyFill="1" applyBorder="1" applyAlignment="1">
      <alignment horizontal="left" vertical="top"/>
    </xf>
    <xf numFmtId="0" fontId="2" fillId="3" borderId="10"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2" fillId="6" borderId="10" xfId="0" applyFont="1" applyFill="1" applyBorder="1" applyAlignment="1">
      <alignment horizontal="center" vertical="center"/>
    </xf>
    <xf numFmtId="43" fontId="10" fillId="2" borderId="1" xfId="16" applyFont="1" applyFill="1" applyBorder="1" applyAlignment="1">
      <alignment horizontal="center" vertical="center"/>
    </xf>
    <xf numFmtId="43" fontId="1" fillId="2" borderId="1" xfId="16" applyFont="1" applyFill="1" applyBorder="1" applyAlignment="1">
      <alignment horizontal="center" vertical="center"/>
    </xf>
    <xf numFmtId="43" fontId="2" fillId="2" borderId="10" xfId="16" applyFont="1" applyFill="1" applyBorder="1" applyAlignment="1">
      <alignment horizontal="center" vertical="center"/>
    </xf>
    <xf numFmtId="43" fontId="2" fillId="3" borderId="10" xfId="16" applyFont="1" applyFill="1" applyBorder="1" applyAlignment="1">
      <alignment horizontal="center" vertical="center"/>
    </xf>
    <xf numFmtId="43" fontId="8" fillId="5" borderId="1" xfId="16" applyFont="1" applyFill="1" applyBorder="1" applyAlignment="1">
      <alignment horizontal="right" vertical="center"/>
    </xf>
    <xf numFmtId="43" fontId="8" fillId="5" borderId="4" xfId="16" applyFont="1" applyFill="1" applyBorder="1" applyAlignment="1">
      <alignment horizontal="right" vertical="center"/>
    </xf>
    <xf numFmtId="43" fontId="8" fillId="5" borderId="6" xfId="16" applyFont="1" applyFill="1" applyBorder="1" applyAlignment="1">
      <alignment horizontal="right" vertical="top"/>
    </xf>
    <xf numFmtId="43" fontId="8" fillId="5" borderId="10" xfId="16" applyFont="1" applyFill="1" applyBorder="1" applyAlignment="1">
      <alignment horizontal="right" vertical="top"/>
    </xf>
    <xf numFmtId="43" fontId="2" fillId="5" borderId="13" xfId="16" applyFont="1" applyFill="1" applyBorder="1" applyAlignment="1">
      <alignment horizontal="right"/>
    </xf>
    <xf numFmtId="43" fontId="2" fillId="3" borderId="1" xfId="16" applyFont="1" applyFill="1" applyBorder="1" applyAlignment="1">
      <alignment horizontal="center" vertical="center"/>
    </xf>
    <xf numFmtId="43" fontId="0" fillId="0" borderId="0" xfId="16" applyFont="1"/>
    <xf numFmtId="43" fontId="0" fillId="2" borderId="0" xfId="16" applyFont="1" applyFill="1"/>
    <xf numFmtId="43" fontId="1" fillId="2" borderId="1" xfId="16" applyFont="1" applyFill="1" applyBorder="1" applyAlignment="1">
      <alignment horizontal="center" vertical="center" wrapText="1"/>
    </xf>
    <xf numFmtId="43" fontId="2" fillId="2" borderId="0" xfId="16" applyFont="1" applyFill="1" applyAlignment="1">
      <alignment horizontal="center" vertical="center"/>
    </xf>
    <xf numFmtId="43" fontId="1" fillId="2" borderId="9" xfId="16" applyFont="1" applyFill="1" applyBorder="1" applyAlignment="1">
      <alignment horizontal="center" vertical="center"/>
    </xf>
    <xf numFmtId="43" fontId="1" fillId="2" borderId="10" xfId="16" applyFont="1" applyFill="1" applyBorder="1" applyAlignment="1">
      <alignment horizontal="center" vertical="center"/>
    </xf>
    <xf numFmtId="43" fontId="1" fillId="5" borderId="10" xfId="16" applyFont="1" applyFill="1" applyBorder="1" applyAlignment="1">
      <alignment horizontal="center" vertical="center"/>
    </xf>
    <xf numFmtId="43" fontId="1" fillId="5" borderId="22" xfId="16" applyFont="1" applyFill="1" applyBorder="1" applyAlignment="1">
      <alignment horizontal="center" vertical="center"/>
    </xf>
    <xf numFmtId="43" fontId="1" fillId="5" borderId="18" xfId="16" applyFont="1" applyFill="1" applyBorder="1" applyAlignment="1">
      <alignment horizontal="center" vertical="center"/>
    </xf>
    <xf numFmtId="43" fontId="1" fillId="5" borderId="1" xfId="16" applyFont="1" applyFill="1" applyBorder="1" applyAlignment="1">
      <alignment horizontal="center" vertical="center"/>
    </xf>
    <xf numFmtId="43" fontId="2" fillId="3" borderId="20" xfId="16" applyFont="1" applyFill="1" applyBorder="1" applyAlignment="1">
      <alignment horizontal="center" vertical="center"/>
    </xf>
    <xf numFmtId="43" fontId="2" fillId="2" borderId="0" xfId="16" applyFont="1" applyFill="1" applyAlignment="1">
      <alignment horizontal="right" vertical="center"/>
    </xf>
    <xf numFmtId="43" fontId="2" fillId="3" borderId="9" xfId="16" applyFont="1" applyFill="1" applyBorder="1" applyAlignment="1">
      <alignment horizontal="center" vertical="center"/>
    </xf>
    <xf numFmtId="43" fontId="2" fillId="3" borderId="1" xfId="16" applyFont="1" applyFill="1" applyBorder="1"/>
    <xf numFmtId="43" fontId="1" fillId="0" borderId="1" xfId="16" applyFont="1" applyBorder="1" applyAlignment="1">
      <alignment horizontal="center" vertical="center"/>
    </xf>
    <xf numFmtId="43" fontId="2" fillId="3" borderId="1" xfId="16" applyFont="1" applyFill="1" applyBorder="1" applyAlignment="1">
      <alignment horizontal="right" vertical="center"/>
    </xf>
    <xf numFmtId="43" fontId="5" fillId="3" borderId="1" xfId="16" applyFont="1" applyFill="1" applyBorder="1"/>
    <xf numFmtId="43" fontId="16" fillId="2" borderId="1" xfId="16" applyFont="1" applyFill="1" applyBorder="1" applyAlignment="1">
      <alignment horizontal="center" vertical="center"/>
    </xf>
    <xf numFmtId="43" fontId="16" fillId="3" borderId="1" xfId="16" applyFont="1" applyFill="1" applyBorder="1" applyAlignment="1">
      <alignment horizontal="center" vertical="center"/>
    </xf>
    <xf numFmtId="43" fontId="8" fillId="2" borderId="0" xfId="16" applyFont="1" applyFill="1"/>
    <xf numFmtId="43" fontId="9" fillId="0" borderId="0" xfId="16" applyFont="1"/>
    <xf numFmtId="43" fontId="8" fillId="2" borderId="1" xfId="16" applyFont="1" applyFill="1" applyBorder="1" applyAlignment="1">
      <alignment horizontal="center" vertical="center"/>
    </xf>
    <xf numFmtId="43" fontId="8" fillId="2" borderId="1" xfId="16" applyFont="1" applyFill="1" applyBorder="1" applyAlignment="1">
      <alignment horizontal="center" vertical="center" wrapText="1"/>
    </xf>
    <xf numFmtId="43" fontId="16" fillId="0" borderId="1" xfId="16" applyFont="1" applyBorder="1" applyAlignment="1">
      <alignment horizontal="right" vertical="center"/>
    </xf>
    <xf numFmtId="43" fontId="16" fillId="3" borderId="1" xfId="16" applyFont="1" applyFill="1" applyBorder="1" applyAlignment="1">
      <alignment horizontal="right" vertical="center"/>
    </xf>
    <xf numFmtId="43" fontId="2" fillId="3" borderId="9" xfId="16" applyFont="1" applyFill="1" applyBorder="1" applyAlignment="1">
      <alignment horizontal="right" vertical="center"/>
    </xf>
    <xf numFmtId="43" fontId="2" fillId="2" borderId="0" xfId="16" applyFont="1" applyFill="1"/>
    <xf numFmtId="43" fontId="1" fillId="2" borderId="7" xfId="16" applyFont="1" applyFill="1" applyBorder="1" applyAlignment="1">
      <alignment horizontal="center" vertical="center"/>
    </xf>
    <xf numFmtId="43" fontId="8" fillId="2" borderId="10" xfId="16" applyFont="1" applyFill="1" applyBorder="1" applyAlignment="1">
      <alignment horizontal="center" vertical="center"/>
    </xf>
    <xf numFmtId="43" fontId="1" fillId="2" borderId="18" xfId="16" applyFont="1" applyFill="1" applyBorder="1" applyAlignment="1">
      <alignment horizontal="center" vertical="center"/>
    </xf>
    <xf numFmtId="43" fontId="2" fillId="6" borderId="10" xfId="16" applyFont="1" applyFill="1" applyBorder="1" applyAlignment="1">
      <alignment horizontal="center" vertical="center"/>
    </xf>
    <xf numFmtId="43" fontId="1" fillId="2" borderId="16" xfId="16" applyFont="1" applyFill="1" applyBorder="1" applyAlignment="1">
      <alignment horizontal="center" vertical="center"/>
    </xf>
    <xf numFmtId="43" fontId="3" fillId="3" borderId="10" xfId="16" applyFont="1" applyFill="1" applyBorder="1" applyAlignment="1">
      <alignment horizontal="center" vertical="center"/>
    </xf>
    <xf numFmtId="43" fontId="3" fillId="2" borderId="0" xfId="16" applyFont="1" applyFill="1" applyAlignment="1">
      <alignment horizontal="center" vertical="center"/>
    </xf>
    <xf numFmtId="0" fontId="20" fillId="2" borderId="1" xfId="0" applyFont="1" applyFill="1" applyBorder="1" applyAlignment="1">
      <alignment horizontal="left" vertical="top" wrapText="1"/>
    </xf>
    <xf numFmtId="43" fontId="1" fillId="2" borderId="19" xfId="16" applyFont="1" applyFill="1" applyBorder="1" applyAlignment="1">
      <alignment horizontal="center" vertical="center"/>
    </xf>
    <xf numFmtId="43" fontId="1" fillId="2" borderId="5" xfId="16" applyFont="1" applyFill="1" applyBorder="1" applyAlignment="1">
      <alignment horizontal="center" vertical="center"/>
    </xf>
    <xf numFmtId="43" fontId="15" fillId="0" borderId="10" xfId="16" applyFont="1" applyBorder="1" applyAlignment="1">
      <alignment horizontal="center" vertical="center"/>
    </xf>
    <xf numFmtId="43" fontId="14" fillId="0" borderId="1" xfId="16" applyFont="1" applyBorder="1" applyAlignment="1">
      <alignment horizontal="center" vertical="center"/>
    </xf>
    <xf numFmtId="43" fontId="9" fillId="2" borderId="0" xfId="16" applyFont="1" applyFill="1"/>
    <xf numFmtId="43" fontId="8" fillId="5" borderId="4" xfId="16" applyFont="1" applyFill="1" applyBorder="1" applyAlignment="1">
      <alignment horizontal="left" vertical="center"/>
    </xf>
    <xf numFmtId="43" fontId="12" fillId="0" borderId="1" xfId="16" applyFont="1" applyBorder="1" applyAlignment="1">
      <alignment horizontal="center" vertical="center"/>
    </xf>
    <xf numFmtId="43" fontId="1" fillId="2" borderId="26" xfId="16" applyFont="1" applyFill="1" applyBorder="1" applyAlignment="1">
      <alignment horizontal="center" vertical="center"/>
    </xf>
    <xf numFmtId="43" fontId="3" fillId="2" borderId="0" xfId="16" applyFont="1" applyFill="1" applyAlignment="1">
      <alignment horizontal="right" vertical="center"/>
    </xf>
    <xf numFmtId="43" fontId="2" fillId="2" borderId="0" xfId="16" applyFont="1" applyFill="1" applyAlignment="1">
      <alignment horizontal="right" vertical="top" wrapText="1"/>
    </xf>
    <xf numFmtId="43" fontId="8" fillId="5" borderId="4" xfId="16" applyFont="1" applyFill="1" applyBorder="1" applyAlignment="1">
      <alignment horizontal="left" vertical="top"/>
    </xf>
    <xf numFmtId="43" fontId="19" fillId="3" borderId="1" xfId="16" applyFont="1" applyFill="1" applyBorder="1"/>
    <xf numFmtId="43" fontId="18" fillId="2" borderId="1" xfId="16" applyFont="1" applyFill="1" applyBorder="1" applyAlignment="1">
      <alignment horizontal="center" vertical="center"/>
    </xf>
    <xf numFmtId="0" fontId="21" fillId="7" borderId="0" xfId="0" applyFont="1" applyFill="1"/>
    <xf numFmtId="43" fontId="1" fillId="5" borderId="8" xfId="16" applyFont="1" applyFill="1" applyBorder="1" applyAlignment="1">
      <alignment horizontal="center" vertical="center"/>
    </xf>
    <xf numFmtId="43" fontId="10" fillId="5" borderId="1" xfId="16" applyFont="1" applyFill="1" applyBorder="1" applyAlignment="1">
      <alignment horizontal="center" vertical="center"/>
    </xf>
    <xf numFmtId="43" fontId="10" fillId="5" borderId="8" xfId="16" applyFont="1" applyFill="1" applyBorder="1" applyAlignment="1">
      <alignment horizontal="center" vertical="center"/>
    </xf>
    <xf numFmtId="43" fontId="1" fillId="5" borderId="1" xfId="16" applyFont="1" applyFill="1" applyBorder="1" applyAlignment="1">
      <alignment horizontal="center" vertical="center" wrapText="1"/>
    </xf>
    <xf numFmtId="43" fontId="15" fillId="5" borderId="10" xfId="16" applyFont="1" applyFill="1" applyBorder="1" applyAlignment="1">
      <alignment horizontal="right" vertical="center"/>
    </xf>
    <xf numFmtId="43" fontId="16" fillId="5" borderId="18" xfId="16" applyFont="1" applyFill="1" applyBorder="1" applyAlignment="1">
      <alignment horizontal="right" vertical="center"/>
    </xf>
    <xf numFmtId="43" fontId="8" fillId="5" borderId="1" xfId="16" applyFont="1" applyFill="1" applyBorder="1" applyAlignment="1">
      <alignment horizontal="center" vertical="center" wrapText="1"/>
    </xf>
    <xf numFmtId="43" fontId="2" fillId="5" borderId="1" xfId="16" applyFont="1" applyFill="1" applyBorder="1"/>
    <xf numFmtId="0" fontId="2" fillId="2" borderId="0" xfId="0" applyFont="1" applyFill="1" applyAlignment="1">
      <alignment horizontal="right" vertical="center"/>
    </xf>
    <xf numFmtId="0" fontId="2" fillId="2" borderId="23" xfId="0" applyFont="1" applyFill="1" applyBorder="1" applyAlignment="1">
      <alignment horizontal="right" vertical="center"/>
    </xf>
    <xf numFmtId="0" fontId="2" fillId="0" borderId="5" xfId="0" applyFont="1" applyBorder="1" applyAlignment="1">
      <alignment horizontal="right" vertical="top" wrapText="1"/>
    </xf>
    <xf numFmtId="0" fontId="2" fillId="0" borderId="6" xfId="0" applyFont="1" applyBorder="1" applyAlignment="1">
      <alignment horizontal="right" vertical="top"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xf>
    <xf numFmtId="0" fontId="2" fillId="2" borderId="5" xfId="0" applyFont="1" applyFill="1" applyBorder="1" applyAlignment="1">
      <alignment horizontal="right"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2" borderId="0" xfId="0" applyFont="1" applyFill="1" applyAlignment="1">
      <alignment horizontal="right"/>
    </xf>
    <xf numFmtId="0" fontId="2" fillId="2" borderId="15" xfId="0" applyFont="1" applyFill="1" applyBorder="1" applyAlignment="1">
      <alignment horizontal="right"/>
    </xf>
    <xf numFmtId="0" fontId="2" fillId="2" borderId="6" xfId="0" applyFont="1" applyFill="1" applyBorder="1" applyAlignment="1">
      <alignment horizontal="right" vertical="center"/>
    </xf>
    <xf numFmtId="0" fontId="1" fillId="2" borderId="12" xfId="0" applyFont="1" applyFill="1" applyBorder="1" applyAlignment="1">
      <alignment horizontal="center"/>
    </xf>
    <xf numFmtId="0" fontId="3" fillId="0" borderId="5" xfId="0" applyFont="1" applyBorder="1" applyAlignment="1">
      <alignment horizontal="right" wrapText="1"/>
    </xf>
    <xf numFmtId="0" fontId="3" fillId="0" borderId="6" xfId="0" applyFont="1" applyBorder="1" applyAlignment="1">
      <alignment horizontal="right" wrapText="1"/>
    </xf>
    <xf numFmtId="0" fontId="10" fillId="0" borderId="10" xfId="0" applyFont="1" applyBorder="1" applyAlignment="1">
      <alignment horizontal="left" vertical="top" wrapText="1"/>
    </xf>
    <xf numFmtId="0" fontId="2" fillId="2" borderId="3" xfId="0" applyFont="1" applyFill="1" applyBorder="1" applyAlignment="1">
      <alignment horizontal="right"/>
    </xf>
    <xf numFmtId="0" fontId="2" fillId="2" borderId="4" xfId="0" applyFont="1" applyFill="1" applyBorder="1" applyAlignment="1">
      <alignment horizontal="right"/>
    </xf>
    <xf numFmtId="0" fontId="1" fillId="4" borderId="24" xfId="1" applyFont="1" applyFill="1" applyBorder="1" applyAlignment="1">
      <alignment horizontal="left" vertical="top" wrapText="1"/>
    </xf>
    <xf numFmtId="0" fontId="1" fillId="4" borderId="26" xfId="1" applyFont="1" applyFill="1" applyBorder="1" applyAlignment="1">
      <alignment horizontal="left" vertical="top" wrapText="1"/>
    </xf>
    <xf numFmtId="0" fontId="1" fillId="4" borderId="16" xfId="1" applyFont="1" applyFill="1" applyBorder="1" applyAlignment="1">
      <alignment horizontal="left" vertical="top" wrapText="1"/>
    </xf>
    <xf numFmtId="0" fontId="10" fillId="0" borderId="20" xfId="1" applyFont="1" applyBorder="1" applyAlignment="1">
      <alignment horizontal="center" vertical="center"/>
    </xf>
    <xf numFmtId="0" fontId="10" fillId="0" borderId="10" xfId="1" applyFont="1" applyBorder="1" applyAlignment="1">
      <alignment horizontal="center" vertical="center"/>
    </xf>
    <xf numFmtId="0" fontId="1" fillId="2" borderId="27" xfId="0" applyFont="1" applyFill="1" applyBorder="1" applyAlignment="1">
      <alignment horizontal="center"/>
    </xf>
    <xf numFmtId="0" fontId="13" fillId="0" borderId="25" xfId="1" applyFont="1" applyBorder="1" applyAlignment="1">
      <alignment horizontal="right" vertical="center"/>
    </xf>
    <xf numFmtId="0" fontId="13" fillId="0" borderId="17" xfId="1" applyFont="1" applyBorder="1" applyAlignment="1">
      <alignment horizontal="right" vertical="center"/>
    </xf>
    <xf numFmtId="0" fontId="13" fillId="0" borderId="22" xfId="1" applyFont="1" applyBorder="1" applyAlignment="1">
      <alignment horizontal="right" vertical="center"/>
    </xf>
    <xf numFmtId="0" fontId="12" fillId="0" borderId="3" xfId="1" applyFont="1" applyBorder="1" applyAlignment="1">
      <alignment horizontal="right" vertical="center"/>
    </xf>
    <xf numFmtId="0" fontId="12" fillId="0" borderId="4" xfId="1" applyFont="1" applyBorder="1" applyAlignment="1">
      <alignment horizontal="right" vertical="center"/>
    </xf>
    <xf numFmtId="0" fontId="5" fillId="2" borderId="5" xfId="0" applyFont="1" applyFill="1" applyBorder="1" applyAlignment="1">
      <alignment horizontal="right" vertical="center"/>
    </xf>
    <xf numFmtId="0" fontId="5" fillId="2" borderId="6" xfId="0" applyFont="1" applyFill="1" applyBorder="1" applyAlignment="1">
      <alignment horizontal="right"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2" fillId="3" borderId="10" xfId="0" applyFont="1" applyFill="1" applyBorder="1" applyAlignment="1">
      <alignment horizontal="center" vertical="center" wrapText="1"/>
    </xf>
    <xf numFmtId="0" fontId="20" fillId="2" borderId="2" xfId="0" applyFont="1" applyFill="1" applyBorder="1" applyAlignment="1">
      <alignment horizontal="left" vertical="top" wrapText="1"/>
    </xf>
    <xf numFmtId="0" fontId="20" fillId="2" borderId="3" xfId="0" applyFont="1" applyFill="1" applyBorder="1" applyAlignment="1">
      <alignment horizontal="left" vertical="top" wrapText="1"/>
    </xf>
    <xf numFmtId="0" fontId="20" fillId="2" borderId="4" xfId="0" applyFont="1" applyFill="1" applyBorder="1" applyAlignment="1">
      <alignment horizontal="left" vertical="top" wrapText="1"/>
    </xf>
    <xf numFmtId="0" fontId="1" fillId="0" borderId="12" xfId="0" applyFont="1" applyBorder="1" applyAlignment="1">
      <alignment horizontal="center"/>
    </xf>
    <xf numFmtId="0" fontId="2" fillId="0" borderId="21" xfId="0" applyFont="1" applyBorder="1" applyAlignment="1">
      <alignment horizontal="right" vertical="center"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0" fillId="0" borderId="12" xfId="0" applyBorder="1" applyAlignment="1">
      <alignment horizontal="center"/>
    </xf>
    <xf numFmtId="0" fontId="8" fillId="5" borderId="2" xfId="0" applyFont="1" applyFill="1" applyBorder="1" applyAlignment="1">
      <alignment horizontal="left" vertical="top"/>
    </xf>
    <xf numFmtId="0" fontId="8" fillId="5" borderId="3" xfId="0" applyFont="1" applyFill="1" applyBorder="1" applyAlignment="1">
      <alignment horizontal="left" vertical="top"/>
    </xf>
    <xf numFmtId="0" fontId="8" fillId="5" borderId="4" xfId="0" applyFont="1" applyFill="1" applyBorder="1" applyAlignment="1">
      <alignment horizontal="left" vertical="top"/>
    </xf>
    <xf numFmtId="0" fontId="8" fillId="5" borderId="2" xfId="0" applyFont="1" applyFill="1" applyBorder="1" applyAlignment="1">
      <alignment horizontal="left" vertical="center"/>
    </xf>
    <xf numFmtId="0" fontId="8" fillId="5" borderId="3" xfId="0" applyFont="1" applyFill="1" applyBorder="1" applyAlignment="1">
      <alignment horizontal="left" vertical="center"/>
    </xf>
    <xf numFmtId="0" fontId="8" fillId="5" borderId="4" xfId="0" applyFont="1" applyFill="1" applyBorder="1" applyAlignment="1">
      <alignment horizontal="left" vertical="center"/>
    </xf>
    <xf numFmtId="0" fontId="2" fillId="2" borderId="2" xfId="0" applyFont="1" applyFill="1" applyBorder="1" applyAlignment="1">
      <alignment horizontal="right"/>
    </xf>
    <xf numFmtId="0" fontId="1" fillId="2" borderId="13" xfId="0" applyFont="1" applyFill="1" applyBorder="1" applyAlignment="1">
      <alignment horizont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2" borderId="11" xfId="0" applyFont="1" applyFill="1" applyBorder="1" applyAlignment="1">
      <alignment horizontal="righ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12" fillId="0" borderId="28" xfId="0" applyFont="1" applyBorder="1" applyAlignment="1">
      <alignment horizontal="right" vertical="center"/>
    </xf>
    <xf numFmtId="0" fontId="12" fillId="0" borderId="29" xfId="0" applyFont="1" applyBorder="1" applyAlignment="1">
      <alignment horizontal="right" vertical="center"/>
    </xf>
    <xf numFmtId="0" fontId="12" fillId="0" borderId="30" xfId="0" applyFont="1" applyBorder="1" applyAlignment="1">
      <alignment horizontal="right" vertical="center"/>
    </xf>
    <xf numFmtId="0" fontId="13" fillId="0" borderId="0" xfId="1" applyFont="1" applyAlignment="1">
      <alignment horizontal="center" vertical="center"/>
    </xf>
    <xf numFmtId="0" fontId="13" fillId="0" borderId="15" xfId="1" applyFont="1" applyBorder="1" applyAlignment="1">
      <alignment horizontal="center" vertical="center"/>
    </xf>
    <xf numFmtId="0" fontId="3" fillId="2" borderId="5" xfId="0" applyFont="1" applyFill="1" applyBorder="1" applyAlignment="1">
      <alignment horizontal="right" wrapText="1"/>
    </xf>
    <xf numFmtId="0" fontId="3" fillId="2" borderId="6" xfId="0" applyFont="1" applyFill="1" applyBorder="1" applyAlignment="1">
      <alignment horizontal="right" wrapText="1"/>
    </xf>
    <xf numFmtId="0" fontId="2" fillId="2" borderId="10" xfId="0" applyFont="1" applyFill="1" applyBorder="1" applyAlignment="1">
      <alignment horizontal="center" vertical="center"/>
    </xf>
    <xf numFmtId="0" fontId="3" fillId="2" borderId="25" xfId="0" applyFont="1" applyFill="1" applyBorder="1" applyAlignment="1">
      <alignment horizontal="right" vertical="center"/>
    </xf>
    <xf numFmtId="0" fontId="3" fillId="2" borderId="26" xfId="0" applyFont="1" applyFill="1" applyBorder="1" applyAlignment="1">
      <alignment horizontal="right" vertical="center"/>
    </xf>
    <xf numFmtId="0" fontId="3" fillId="2" borderId="16" xfId="0" applyFont="1" applyFill="1" applyBorder="1" applyAlignment="1">
      <alignment horizontal="right"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16" xfId="0" applyFont="1" applyFill="1" applyBorder="1" applyAlignment="1">
      <alignment horizontal="center" vertical="center"/>
    </xf>
    <xf numFmtId="0" fontId="2" fillId="6" borderId="10" xfId="0" applyFont="1" applyFill="1" applyBorder="1" applyAlignment="1">
      <alignment horizontal="center" vertical="center"/>
    </xf>
    <xf numFmtId="0" fontId="13" fillId="0" borderId="12" xfId="1" applyFont="1" applyBorder="1" applyAlignment="1">
      <alignment horizontal="center" vertical="center"/>
    </xf>
    <xf numFmtId="0" fontId="13" fillId="0" borderId="13" xfId="1" applyFont="1" applyBorder="1" applyAlignment="1">
      <alignment horizontal="center" vertical="center"/>
    </xf>
    <xf numFmtId="0" fontId="3" fillId="2" borderId="17" xfId="0" applyFont="1" applyFill="1" applyBorder="1" applyAlignment="1">
      <alignment horizontal="right" vertical="center"/>
    </xf>
    <xf numFmtId="0" fontId="3" fillId="2" borderId="22" xfId="0" applyFont="1" applyFill="1" applyBorder="1" applyAlignment="1">
      <alignment horizontal="right" vertical="center"/>
    </xf>
    <xf numFmtId="0" fontId="2" fillId="3" borderId="10" xfId="0" applyFont="1" applyFill="1" applyBorder="1" applyAlignment="1">
      <alignment horizontal="center" vertical="top" wrapText="1"/>
    </xf>
    <xf numFmtId="0" fontId="2" fillId="0" borderId="10" xfId="0" applyFont="1" applyBorder="1" applyAlignment="1">
      <alignment horizontal="left" vertical="top" wrapText="1"/>
    </xf>
    <xf numFmtId="0" fontId="2" fillId="0" borderId="17" xfId="0" applyFont="1" applyBorder="1" applyAlignment="1">
      <alignment horizontal="right" vertical="top" wrapText="1"/>
    </xf>
    <xf numFmtId="0" fontId="2" fillId="0" borderId="22" xfId="0" applyFont="1" applyBorder="1" applyAlignment="1">
      <alignment horizontal="right" vertical="top" wrapText="1"/>
    </xf>
    <xf numFmtId="0" fontId="1" fillId="2" borderId="0" xfId="0" applyFont="1" applyFill="1" applyAlignment="1">
      <alignment horizontal="center"/>
    </xf>
    <xf numFmtId="0" fontId="2" fillId="0" borderId="25" xfId="0" applyFont="1" applyBorder="1" applyAlignment="1">
      <alignment horizontal="left" vertical="top" wrapText="1"/>
    </xf>
    <xf numFmtId="0" fontId="2" fillId="0" borderId="26" xfId="0" applyFont="1" applyBorder="1" applyAlignment="1">
      <alignment horizontal="left" vertical="top" wrapText="1"/>
    </xf>
    <xf numFmtId="0" fontId="2" fillId="0" borderId="16" xfId="0" applyFont="1" applyBorder="1" applyAlignment="1">
      <alignment horizontal="left" vertical="top" wrapText="1"/>
    </xf>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5" borderId="10" xfId="0" applyFont="1" applyFill="1" applyBorder="1" applyAlignment="1">
      <alignment horizontal="left" vertical="top"/>
    </xf>
    <xf numFmtId="0" fontId="2" fillId="5" borderId="11" xfId="0" applyFont="1" applyFill="1" applyBorder="1" applyAlignment="1">
      <alignment horizontal="right"/>
    </xf>
    <xf numFmtId="0" fontId="2" fillId="5" borderId="12" xfId="0" applyFont="1" applyFill="1" applyBorder="1" applyAlignment="1">
      <alignment horizontal="right"/>
    </xf>
    <xf numFmtId="0" fontId="2" fillId="5" borderId="13" xfId="0" applyFont="1" applyFill="1" applyBorder="1" applyAlignment="1">
      <alignment horizontal="right"/>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8" fillId="5" borderId="21" xfId="0" applyFont="1" applyFill="1" applyBorder="1" applyAlignment="1">
      <alignment horizontal="left" vertical="top"/>
    </xf>
    <xf numFmtId="0" fontId="8" fillId="5" borderId="5" xfId="0" applyFont="1" applyFill="1" applyBorder="1" applyAlignment="1">
      <alignment horizontal="left" vertical="top"/>
    </xf>
    <xf numFmtId="0" fontId="8" fillId="5" borderId="6" xfId="0" applyFont="1" applyFill="1" applyBorder="1" applyAlignment="1">
      <alignment horizontal="left" vertical="top"/>
    </xf>
    <xf numFmtId="43" fontId="8" fillId="5" borderId="10" xfId="16" applyFont="1" applyFill="1" applyBorder="1" applyAlignment="1">
      <alignment horizontal="center" vertical="center"/>
    </xf>
  </cellXfs>
  <cellStyles count="17">
    <cellStyle name="Comma" xfId="16" builtinId="3"/>
    <cellStyle name="Comma 2" xfId="2" xr:uid="{ACF16455-6BAD-4E4A-9722-A85A92BCA798}"/>
    <cellStyle name="Comma 2 2" xfId="3" xr:uid="{6517884D-4FA6-40E5-88C2-36C264BA5C02}"/>
    <cellStyle name="Comma 3" xfId="4" xr:uid="{F63D3606-0027-4003-AEF2-A5C236109620}"/>
    <cellStyle name="Currency 2" xfId="5" xr:uid="{9882FE01-4A00-46A6-BBFE-DF313D2EA21E}"/>
    <cellStyle name="Currency 3" xfId="6" xr:uid="{19BAB2D4-570C-40E6-B05E-CE2BF4AE2132}"/>
    <cellStyle name="Currency 3 2" xfId="7" xr:uid="{E26F90DA-6347-4003-B9B9-772FDA986F90}"/>
    <cellStyle name="Euro" xfId="8" xr:uid="{45008242-D8D5-4C5A-B820-B8008A6D45D3}"/>
    <cellStyle name="Euro 2" xfId="9" xr:uid="{D3C5B35A-E7B5-4F36-A6E1-C38DA7125FC1}"/>
    <cellStyle name="Normal" xfId="0" builtinId="0"/>
    <cellStyle name="Normal 2" xfId="1" xr:uid="{7510C431-B0B6-4AAE-80A7-358294DE109C}"/>
    <cellStyle name="Normal 2 2" xfId="10" xr:uid="{572CF5E2-7268-4358-824A-DBCEDFE6978D}"/>
    <cellStyle name="Normal 3" xfId="11" xr:uid="{8E7A999E-F7C6-4395-B712-0D512CA502AE}"/>
    <cellStyle name="Normal 4" xfId="12" xr:uid="{2EBA5E1F-7644-4243-912C-74B1D61888BE}"/>
    <cellStyle name="Normal 4 2" xfId="13" xr:uid="{67230360-F3C9-43E0-ADB2-062A38271D33}"/>
    <cellStyle name="Normal 5" xfId="14" xr:uid="{1CA9EE39-BA59-4009-B5CC-FE60AA60ED81}"/>
    <cellStyle name="Normal 5 2" xfId="15" xr:uid="{EBEA334B-F745-4156-ADA1-21B19F4A7F1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537210</xdr:colOff>
      <xdr:row>47</xdr:row>
      <xdr:rowOff>0</xdr:rowOff>
    </xdr:from>
    <xdr:ext cx="184731" cy="255111"/>
    <xdr:sp macro="" textlink="">
      <xdr:nvSpPr>
        <xdr:cNvPr id="2" name="TextBox 1">
          <a:extLst>
            <a:ext uri="{FF2B5EF4-FFF2-40B4-BE49-F238E27FC236}">
              <a16:creationId xmlns:a16="http://schemas.microsoft.com/office/drawing/2014/main" id="{D322D68A-D9F5-4ED4-9203-728541C818C2}"/>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47</xdr:row>
      <xdr:rowOff>0</xdr:rowOff>
    </xdr:from>
    <xdr:ext cx="184731" cy="255111"/>
    <xdr:sp macro="" textlink="">
      <xdr:nvSpPr>
        <xdr:cNvPr id="3" name="TextBox 2">
          <a:extLst>
            <a:ext uri="{FF2B5EF4-FFF2-40B4-BE49-F238E27FC236}">
              <a16:creationId xmlns:a16="http://schemas.microsoft.com/office/drawing/2014/main" id="{59F35395-7FC3-4209-8FD4-53443AB77873}"/>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47</xdr:row>
      <xdr:rowOff>0</xdr:rowOff>
    </xdr:from>
    <xdr:ext cx="194454" cy="255111"/>
    <xdr:sp macro="" textlink="">
      <xdr:nvSpPr>
        <xdr:cNvPr id="4" name="TextBox 3">
          <a:extLst>
            <a:ext uri="{FF2B5EF4-FFF2-40B4-BE49-F238E27FC236}">
              <a16:creationId xmlns:a16="http://schemas.microsoft.com/office/drawing/2014/main" id="{00C62502-3050-42A6-AB16-81F51E29FB24}"/>
            </a:ext>
          </a:extLst>
        </xdr:cNvPr>
        <xdr:cNvSpPr txBox="1"/>
      </xdr:nvSpPr>
      <xdr:spPr>
        <a:xfrm>
          <a:off x="472440" y="11141202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47</xdr:row>
      <xdr:rowOff>0</xdr:rowOff>
    </xdr:from>
    <xdr:ext cx="184731" cy="255111"/>
    <xdr:sp macro="" textlink="">
      <xdr:nvSpPr>
        <xdr:cNvPr id="5" name="TextBox 4">
          <a:extLst>
            <a:ext uri="{FF2B5EF4-FFF2-40B4-BE49-F238E27FC236}">
              <a16:creationId xmlns:a16="http://schemas.microsoft.com/office/drawing/2014/main" id="{CD05B810-E01A-4030-A717-6B5B4847AD98}"/>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47</xdr:row>
      <xdr:rowOff>0</xdr:rowOff>
    </xdr:from>
    <xdr:ext cx="184731" cy="255111"/>
    <xdr:sp macro="" textlink="">
      <xdr:nvSpPr>
        <xdr:cNvPr id="6" name="TextBox 5">
          <a:extLst>
            <a:ext uri="{FF2B5EF4-FFF2-40B4-BE49-F238E27FC236}">
              <a16:creationId xmlns:a16="http://schemas.microsoft.com/office/drawing/2014/main" id="{1BB199E8-4671-4730-A018-99944B364571}"/>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47</xdr:row>
      <xdr:rowOff>0</xdr:rowOff>
    </xdr:from>
    <xdr:ext cx="194454" cy="255111"/>
    <xdr:sp macro="" textlink="">
      <xdr:nvSpPr>
        <xdr:cNvPr id="7" name="TextBox 6">
          <a:extLst>
            <a:ext uri="{FF2B5EF4-FFF2-40B4-BE49-F238E27FC236}">
              <a16:creationId xmlns:a16="http://schemas.microsoft.com/office/drawing/2014/main" id="{A841962F-70BC-4C44-844B-DC795C59341D}"/>
            </a:ext>
          </a:extLst>
        </xdr:cNvPr>
        <xdr:cNvSpPr txBox="1"/>
      </xdr:nvSpPr>
      <xdr:spPr>
        <a:xfrm>
          <a:off x="472440" y="11141202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47</xdr:row>
      <xdr:rowOff>0</xdr:rowOff>
    </xdr:from>
    <xdr:ext cx="184731" cy="255111"/>
    <xdr:sp macro="" textlink="">
      <xdr:nvSpPr>
        <xdr:cNvPr id="8" name="TextBox 7">
          <a:extLst>
            <a:ext uri="{FF2B5EF4-FFF2-40B4-BE49-F238E27FC236}">
              <a16:creationId xmlns:a16="http://schemas.microsoft.com/office/drawing/2014/main" id="{E334D04D-98EE-4BBC-950C-C4BCF19DCDC1}"/>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47</xdr:row>
      <xdr:rowOff>0</xdr:rowOff>
    </xdr:from>
    <xdr:ext cx="184731" cy="255111"/>
    <xdr:sp macro="" textlink="">
      <xdr:nvSpPr>
        <xdr:cNvPr id="9" name="TextBox 8">
          <a:extLst>
            <a:ext uri="{FF2B5EF4-FFF2-40B4-BE49-F238E27FC236}">
              <a16:creationId xmlns:a16="http://schemas.microsoft.com/office/drawing/2014/main" id="{CB8011D7-1813-4A89-BB5F-80CF9AFAD816}"/>
            </a:ext>
          </a:extLst>
        </xdr:cNvPr>
        <xdr:cNvSpPr txBox="1"/>
      </xdr:nvSpPr>
      <xdr:spPr>
        <a:xfrm>
          <a:off x="468630" y="11141202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47</xdr:row>
      <xdr:rowOff>0</xdr:rowOff>
    </xdr:from>
    <xdr:ext cx="194454" cy="255111"/>
    <xdr:sp macro="" textlink="">
      <xdr:nvSpPr>
        <xdr:cNvPr id="10" name="TextBox 9">
          <a:extLst>
            <a:ext uri="{FF2B5EF4-FFF2-40B4-BE49-F238E27FC236}">
              <a16:creationId xmlns:a16="http://schemas.microsoft.com/office/drawing/2014/main" id="{147DE933-B6F5-408A-868D-C116756B1ED6}"/>
            </a:ext>
          </a:extLst>
        </xdr:cNvPr>
        <xdr:cNvSpPr txBox="1"/>
      </xdr:nvSpPr>
      <xdr:spPr>
        <a:xfrm>
          <a:off x="472440" y="11141202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0" name="TextBox 19">
          <a:extLst>
            <a:ext uri="{FF2B5EF4-FFF2-40B4-BE49-F238E27FC236}">
              <a16:creationId xmlns:a16="http://schemas.microsoft.com/office/drawing/2014/main" id="{0D7E3A23-A39E-4EE7-BD5A-2492F694AE74}"/>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1" name="TextBox 20">
          <a:extLst>
            <a:ext uri="{FF2B5EF4-FFF2-40B4-BE49-F238E27FC236}">
              <a16:creationId xmlns:a16="http://schemas.microsoft.com/office/drawing/2014/main" id="{A7673B18-E82B-4744-A14B-BB1A84458DEF}"/>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190</xdr:row>
      <xdr:rowOff>0</xdr:rowOff>
    </xdr:from>
    <xdr:ext cx="194454" cy="255111"/>
    <xdr:sp macro="" textlink="">
      <xdr:nvSpPr>
        <xdr:cNvPr id="22" name="TextBox 21">
          <a:extLst>
            <a:ext uri="{FF2B5EF4-FFF2-40B4-BE49-F238E27FC236}">
              <a16:creationId xmlns:a16="http://schemas.microsoft.com/office/drawing/2014/main" id="{77C8C794-8C88-4254-B284-8BAEF855383A}"/>
            </a:ext>
          </a:extLst>
        </xdr:cNvPr>
        <xdr:cNvSpPr txBox="1"/>
      </xdr:nvSpPr>
      <xdr:spPr>
        <a:xfrm>
          <a:off x="443865" y="2089785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3" name="TextBox 22">
          <a:extLst>
            <a:ext uri="{FF2B5EF4-FFF2-40B4-BE49-F238E27FC236}">
              <a16:creationId xmlns:a16="http://schemas.microsoft.com/office/drawing/2014/main" id="{E4BC1BCC-F9AB-4B3C-9697-901BB07C2766}"/>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4" name="TextBox 23">
          <a:extLst>
            <a:ext uri="{FF2B5EF4-FFF2-40B4-BE49-F238E27FC236}">
              <a16:creationId xmlns:a16="http://schemas.microsoft.com/office/drawing/2014/main" id="{5BDF4212-3A44-4EA1-AECF-13EF4B89AB59}"/>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190</xdr:row>
      <xdr:rowOff>0</xdr:rowOff>
    </xdr:from>
    <xdr:ext cx="194454" cy="255111"/>
    <xdr:sp macro="" textlink="">
      <xdr:nvSpPr>
        <xdr:cNvPr id="25" name="TextBox 24">
          <a:extLst>
            <a:ext uri="{FF2B5EF4-FFF2-40B4-BE49-F238E27FC236}">
              <a16:creationId xmlns:a16="http://schemas.microsoft.com/office/drawing/2014/main" id="{04D471DA-DBB4-4094-94FD-9695E46663E8}"/>
            </a:ext>
          </a:extLst>
        </xdr:cNvPr>
        <xdr:cNvSpPr txBox="1"/>
      </xdr:nvSpPr>
      <xdr:spPr>
        <a:xfrm>
          <a:off x="443865" y="2089785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6" name="TextBox 25">
          <a:extLst>
            <a:ext uri="{FF2B5EF4-FFF2-40B4-BE49-F238E27FC236}">
              <a16:creationId xmlns:a16="http://schemas.microsoft.com/office/drawing/2014/main" id="{4F2DC926-5B65-49DD-BC90-15A62D1E859B}"/>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537210</xdr:colOff>
      <xdr:row>190</xdr:row>
      <xdr:rowOff>0</xdr:rowOff>
    </xdr:from>
    <xdr:ext cx="184731" cy="255111"/>
    <xdr:sp macro="" textlink="">
      <xdr:nvSpPr>
        <xdr:cNvPr id="27" name="TextBox 26">
          <a:extLst>
            <a:ext uri="{FF2B5EF4-FFF2-40B4-BE49-F238E27FC236}">
              <a16:creationId xmlns:a16="http://schemas.microsoft.com/office/drawing/2014/main" id="{99C3D683-8F13-4845-B251-DF6D25737C92}"/>
            </a:ext>
          </a:extLst>
        </xdr:cNvPr>
        <xdr:cNvSpPr txBox="1"/>
      </xdr:nvSpPr>
      <xdr:spPr>
        <a:xfrm>
          <a:off x="451485" y="20897850"/>
          <a:ext cx="184731"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oneCellAnchor>
    <xdr:from>
      <xdr:col>0</xdr:col>
      <xdr:colOff>510540</xdr:colOff>
      <xdr:row>190</xdr:row>
      <xdr:rowOff>0</xdr:rowOff>
    </xdr:from>
    <xdr:ext cx="194454" cy="255111"/>
    <xdr:sp macro="" textlink="">
      <xdr:nvSpPr>
        <xdr:cNvPr id="28" name="TextBox 27">
          <a:extLst>
            <a:ext uri="{FF2B5EF4-FFF2-40B4-BE49-F238E27FC236}">
              <a16:creationId xmlns:a16="http://schemas.microsoft.com/office/drawing/2014/main" id="{D734F1F5-5D76-4E04-A565-747CED09D10E}"/>
            </a:ext>
          </a:extLst>
        </xdr:cNvPr>
        <xdr:cNvSpPr txBox="1"/>
      </xdr:nvSpPr>
      <xdr:spPr>
        <a:xfrm>
          <a:off x="443865" y="20897850"/>
          <a:ext cx="194454" cy="255111"/>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a:p>
      </xdr:txBody>
    </xdr:sp>
    <xdr:clientData/>
  </xdr:oneCellAnchor>
  <xdr:twoCellAnchor>
    <xdr:from>
      <xdr:col>1</xdr:col>
      <xdr:colOff>4716780</xdr:colOff>
      <xdr:row>278</xdr:row>
      <xdr:rowOff>152400</xdr:rowOff>
    </xdr:from>
    <xdr:to>
      <xdr:col>4</xdr:col>
      <xdr:colOff>874395</xdr:colOff>
      <xdr:row>283</xdr:row>
      <xdr:rowOff>144780</xdr:rowOff>
    </xdr:to>
    <xdr:pic>
      <xdr:nvPicPr>
        <xdr:cNvPr id="11" name="Picture 1">
          <a:extLst>
            <a:ext uri="{FF2B5EF4-FFF2-40B4-BE49-F238E27FC236}">
              <a16:creationId xmlns:a16="http://schemas.microsoft.com/office/drawing/2014/main" id="{FFBA2CA4-C4B7-442A-C17A-8A2AEE494C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0640" y="110741460"/>
          <a:ext cx="2162175" cy="906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1:I278"/>
  <sheetViews>
    <sheetView tabSelected="1" topLeftCell="A240" zoomScaleNormal="100" workbookViewId="0">
      <selection activeCell="I249" sqref="I249"/>
    </sheetView>
  </sheetViews>
  <sheetFormatPr defaultRowHeight="14.4" x14ac:dyDescent="0.3"/>
  <cols>
    <col min="1" max="1" width="5.88671875" customWidth="1"/>
    <col min="2" max="2" width="72" customWidth="1"/>
    <col min="3" max="3" width="7.88671875" customWidth="1"/>
    <col min="4" max="4" width="7.6640625" customWidth="1"/>
    <col min="5" max="5" width="14.77734375" style="108" customWidth="1"/>
    <col min="6" max="6" width="11.6640625" style="108" customWidth="1"/>
    <col min="7" max="7" width="9.5546875" bestFit="1" customWidth="1"/>
  </cols>
  <sheetData>
    <row r="1" spans="1:9" ht="20.100000000000001" customHeight="1" thickBot="1" x14ac:dyDescent="0.35"/>
    <row r="2" spans="1:9" ht="39.9" customHeight="1" thickBot="1" x14ac:dyDescent="0.35">
      <c r="A2" s="30" t="s">
        <v>34</v>
      </c>
      <c r="B2" s="169" t="s">
        <v>95</v>
      </c>
      <c r="C2" s="170"/>
      <c r="D2" s="170"/>
      <c r="E2" s="170"/>
      <c r="F2" s="171"/>
    </row>
    <row r="3" spans="1:9" ht="20.100000000000001" customHeight="1" thickBot="1" x14ac:dyDescent="0.35">
      <c r="A3" s="13"/>
      <c r="B3" s="13"/>
      <c r="C3" s="13"/>
      <c r="D3" s="13"/>
      <c r="E3" s="109"/>
      <c r="F3" s="109"/>
    </row>
    <row r="4" spans="1:9" ht="20.100000000000001" customHeight="1" thickBot="1" x14ac:dyDescent="0.35">
      <c r="A4" s="31" t="s">
        <v>12</v>
      </c>
      <c r="B4" s="174" t="s">
        <v>0</v>
      </c>
      <c r="C4" s="175"/>
      <c r="D4" s="175"/>
      <c r="E4" s="175"/>
      <c r="F4" s="176"/>
    </row>
    <row r="5" spans="1:9" s="1" customFormat="1" ht="20.100000000000001" customHeight="1" thickBot="1" x14ac:dyDescent="0.3">
      <c r="A5" s="9" t="s">
        <v>2</v>
      </c>
      <c r="B5" s="9" t="s">
        <v>1</v>
      </c>
      <c r="C5" s="9" t="s">
        <v>3</v>
      </c>
      <c r="D5" s="9" t="s">
        <v>4</v>
      </c>
      <c r="E5" s="99" t="s">
        <v>5</v>
      </c>
      <c r="F5" s="99" t="s">
        <v>6</v>
      </c>
    </row>
    <row r="6" spans="1:9" s="1" customFormat="1" ht="139.5" customHeight="1" thickBot="1" x14ac:dyDescent="0.3">
      <c r="A6" s="15"/>
      <c r="B6" s="177" t="s">
        <v>7</v>
      </c>
      <c r="C6" s="178"/>
      <c r="D6" s="178"/>
      <c r="E6" s="178"/>
      <c r="F6" s="179"/>
    </row>
    <row r="7" spans="1:9" s="1" customFormat="1" ht="44.4" customHeight="1" thickBot="1" x14ac:dyDescent="0.3">
      <c r="A7" s="15"/>
      <c r="B7" s="177" t="s">
        <v>8</v>
      </c>
      <c r="C7" s="178"/>
      <c r="D7" s="178"/>
      <c r="E7" s="178"/>
      <c r="F7" s="179"/>
    </row>
    <row r="8" spans="1:9" s="1" customFormat="1" ht="35.4" customHeight="1" thickBot="1" x14ac:dyDescent="0.3">
      <c r="A8" s="9">
        <v>1.1000000000000001</v>
      </c>
      <c r="B8" s="7" t="s">
        <v>47</v>
      </c>
      <c r="C8" s="5" t="s">
        <v>9</v>
      </c>
      <c r="D8" s="6">
        <v>1</v>
      </c>
      <c r="E8" s="110">
        <v>350</v>
      </c>
      <c r="F8" s="110">
        <f>D8*E8</f>
        <v>350</v>
      </c>
    </row>
    <row r="9" spans="1:9" s="1" customFormat="1" ht="80.25" customHeight="1" thickBot="1" x14ac:dyDescent="0.3">
      <c r="A9" s="9">
        <v>1.2</v>
      </c>
      <c r="B9" s="7" t="s">
        <v>10</v>
      </c>
      <c r="C9" s="5" t="s">
        <v>9</v>
      </c>
      <c r="D9" s="6">
        <v>1</v>
      </c>
      <c r="E9" s="110">
        <v>350</v>
      </c>
      <c r="F9" s="110">
        <f>D9*E9</f>
        <v>350</v>
      </c>
    </row>
    <row r="10" spans="1:9" s="1" customFormat="1" ht="20.100000000000001" customHeight="1" thickBot="1" x14ac:dyDescent="0.3">
      <c r="A10" s="8"/>
      <c r="B10" s="173" t="s">
        <v>11</v>
      </c>
      <c r="C10" s="173"/>
      <c r="D10" s="173"/>
      <c r="E10" s="173"/>
      <c r="F10" s="107">
        <f>F9+F8</f>
        <v>700</v>
      </c>
    </row>
    <row r="11" spans="1:9" s="1" customFormat="1" ht="20.100000000000001" customHeight="1" x14ac:dyDescent="0.25">
      <c r="A11" s="8"/>
      <c r="B11" s="16"/>
      <c r="C11" s="16"/>
      <c r="D11" s="16"/>
      <c r="E11" s="119"/>
      <c r="F11" s="111"/>
    </row>
    <row r="12" spans="1:9" s="1" customFormat="1" ht="20.100000000000001" customHeight="1" x14ac:dyDescent="0.25">
      <c r="A12" s="75" t="s">
        <v>13</v>
      </c>
      <c r="B12" s="172" t="s">
        <v>60</v>
      </c>
      <c r="C12" s="172"/>
      <c r="D12" s="172"/>
      <c r="E12" s="172"/>
      <c r="F12" s="172"/>
    </row>
    <row r="13" spans="1:9" s="1" customFormat="1" ht="20.100000000000001" customHeight="1" thickBot="1" x14ac:dyDescent="0.3">
      <c r="A13" s="47" t="s">
        <v>2</v>
      </c>
      <c r="B13" s="47" t="s">
        <v>1</v>
      </c>
      <c r="C13" s="20" t="s">
        <v>3</v>
      </c>
      <c r="D13" s="20" t="s">
        <v>4</v>
      </c>
      <c r="E13" s="112" t="s">
        <v>5</v>
      </c>
      <c r="F13" s="112" t="s">
        <v>6</v>
      </c>
    </row>
    <row r="14" spans="1:9" s="1" customFormat="1" ht="41.4" customHeight="1" x14ac:dyDescent="0.25">
      <c r="A14" s="38">
        <v>2.1</v>
      </c>
      <c r="B14" s="36" t="s">
        <v>61</v>
      </c>
      <c r="C14" s="37" t="s">
        <v>24</v>
      </c>
      <c r="D14" s="39">
        <v>1</v>
      </c>
      <c r="E14" s="113">
        <v>300</v>
      </c>
      <c r="F14" s="113">
        <f>D14*E14</f>
        <v>300</v>
      </c>
    </row>
    <row r="15" spans="1:9" s="1" customFormat="1" ht="45" customHeight="1" thickBot="1" x14ac:dyDescent="0.3">
      <c r="A15" s="38">
        <v>2.2000000000000002</v>
      </c>
      <c r="B15" s="49" t="s">
        <v>101</v>
      </c>
      <c r="C15" s="48" t="s">
        <v>64</v>
      </c>
      <c r="D15" s="50">
        <v>17</v>
      </c>
      <c r="E15" s="137">
        <v>15</v>
      </c>
      <c r="F15" s="114">
        <f t="shared" ref="F15:F21" si="0">D15*E15</f>
        <v>255</v>
      </c>
    </row>
    <row r="16" spans="1:9" s="1" customFormat="1" ht="84.6" customHeight="1" thickBot="1" x14ac:dyDescent="0.3">
      <c r="A16" s="51">
        <v>2.2999999999999998</v>
      </c>
      <c r="B16" s="7" t="s">
        <v>102</v>
      </c>
      <c r="C16" s="9" t="s">
        <v>64</v>
      </c>
      <c r="D16" s="10">
        <v>12</v>
      </c>
      <c r="E16" s="99">
        <v>10</v>
      </c>
      <c r="F16" s="115">
        <f t="shared" si="0"/>
        <v>120</v>
      </c>
      <c r="G16" s="156"/>
      <c r="H16" s="156"/>
      <c r="I16" s="156"/>
    </row>
    <row r="17" spans="1:6" s="1" customFormat="1" ht="55.95" customHeight="1" thickBot="1" x14ac:dyDescent="0.3">
      <c r="A17" s="48">
        <v>2.4</v>
      </c>
      <c r="B17" s="52" t="s">
        <v>135</v>
      </c>
      <c r="C17" s="53" t="s">
        <v>23</v>
      </c>
      <c r="D17" s="54">
        <v>136.5</v>
      </c>
      <c r="E17" s="143">
        <v>6</v>
      </c>
      <c r="F17" s="116">
        <f t="shared" si="0"/>
        <v>819</v>
      </c>
    </row>
    <row r="18" spans="1:6" s="1" customFormat="1" ht="42.6" customHeight="1" thickBot="1" x14ac:dyDescent="0.3">
      <c r="A18" s="9">
        <v>2.5</v>
      </c>
      <c r="B18" s="7" t="s">
        <v>134</v>
      </c>
      <c r="C18" s="9" t="s">
        <v>23</v>
      </c>
      <c r="D18" s="10">
        <v>26.42</v>
      </c>
      <c r="E18" s="99">
        <v>10</v>
      </c>
      <c r="F18" s="117">
        <f t="shared" si="0"/>
        <v>264.20000000000005</v>
      </c>
    </row>
    <row r="19" spans="1:6" s="1" customFormat="1" ht="43.2" customHeight="1" thickBot="1" x14ac:dyDescent="0.3">
      <c r="A19" s="9">
        <v>2.6</v>
      </c>
      <c r="B19" s="7" t="s">
        <v>70</v>
      </c>
      <c r="C19" s="9" t="s">
        <v>23</v>
      </c>
      <c r="D19" s="10">
        <v>198.54</v>
      </c>
      <c r="E19" s="99">
        <v>0.85</v>
      </c>
      <c r="F19" s="117">
        <f t="shared" si="0"/>
        <v>168.75899999999999</v>
      </c>
    </row>
    <row r="20" spans="1:6" s="1" customFormat="1" ht="36.6" customHeight="1" thickBot="1" x14ac:dyDescent="0.3">
      <c r="A20" s="9">
        <v>2.7</v>
      </c>
      <c r="B20" s="7" t="s">
        <v>71</v>
      </c>
      <c r="C20" s="9" t="s">
        <v>64</v>
      </c>
      <c r="D20" s="10">
        <v>105</v>
      </c>
      <c r="E20" s="99">
        <v>1</v>
      </c>
      <c r="F20" s="117">
        <f t="shared" si="0"/>
        <v>105</v>
      </c>
    </row>
    <row r="21" spans="1:6" s="1" customFormat="1" ht="43.2" customHeight="1" thickBot="1" x14ac:dyDescent="0.3">
      <c r="A21" s="9">
        <v>2.8</v>
      </c>
      <c r="B21" s="7" t="s">
        <v>103</v>
      </c>
      <c r="C21" s="9" t="s">
        <v>64</v>
      </c>
      <c r="D21" s="10">
        <v>244.11</v>
      </c>
      <c r="E21" s="99">
        <v>3.5</v>
      </c>
      <c r="F21" s="117">
        <f t="shared" si="0"/>
        <v>854.38499999999999</v>
      </c>
    </row>
    <row r="22" spans="1:6" s="1" customFormat="1" ht="20.100000000000001" customHeight="1" x14ac:dyDescent="0.25">
      <c r="A22" s="8"/>
      <c r="B22" s="165" t="s">
        <v>62</v>
      </c>
      <c r="C22" s="165"/>
      <c r="D22" s="165"/>
      <c r="E22" s="166"/>
      <c r="F22" s="118">
        <f>SUM(F14:F21)</f>
        <v>2886.3440000000001</v>
      </c>
    </row>
    <row r="23" spans="1:6" s="1" customFormat="1" ht="19.95" customHeight="1" thickBot="1" x14ac:dyDescent="0.3">
      <c r="A23" s="8"/>
      <c r="B23" s="16"/>
      <c r="C23" s="16"/>
      <c r="D23" s="16"/>
      <c r="E23" s="119"/>
      <c r="F23" s="119"/>
    </row>
    <row r="24" spans="1:6" s="1" customFormat="1" ht="19.95" customHeight="1" thickBot="1" x14ac:dyDescent="0.3">
      <c r="A24" s="32" t="s">
        <v>36</v>
      </c>
      <c r="B24" s="183" t="s">
        <v>29</v>
      </c>
      <c r="C24" s="184"/>
      <c r="D24" s="184"/>
      <c r="E24" s="184"/>
      <c r="F24" s="185"/>
    </row>
    <row r="25" spans="1:6" s="1" customFormat="1" ht="19.95" customHeight="1" thickBot="1" x14ac:dyDescent="0.3">
      <c r="A25" s="9" t="s">
        <v>2</v>
      </c>
      <c r="B25" s="9" t="s">
        <v>1</v>
      </c>
      <c r="C25" s="9" t="s">
        <v>3</v>
      </c>
      <c r="D25" s="9" t="s">
        <v>4</v>
      </c>
      <c r="E25" s="99" t="s">
        <v>5</v>
      </c>
      <c r="F25" s="99" t="s">
        <v>6</v>
      </c>
    </row>
    <row r="26" spans="1:6" s="1" customFormat="1" ht="33" customHeight="1" thickBot="1" x14ac:dyDescent="0.3">
      <c r="A26" s="9"/>
      <c r="B26" s="177" t="s">
        <v>21</v>
      </c>
      <c r="C26" s="178"/>
      <c r="D26" s="178"/>
      <c r="E26" s="178"/>
      <c r="F26" s="179"/>
    </row>
    <row r="27" spans="1:6" s="1" customFormat="1" ht="70.95" customHeight="1" thickBot="1" x14ac:dyDescent="0.3">
      <c r="A27" s="9">
        <v>3.1</v>
      </c>
      <c r="B27" s="44" t="s">
        <v>104</v>
      </c>
      <c r="C27" s="19" t="s">
        <v>33</v>
      </c>
      <c r="D27" s="45">
        <v>8</v>
      </c>
      <c r="E27" s="99">
        <v>85</v>
      </c>
      <c r="F27" s="157">
        <f>D27*E27</f>
        <v>680</v>
      </c>
    </row>
    <row r="28" spans="1:6" s="1" customFormat="1" ht="85.95" customHeight="1" x14ac:dyDescent="0.25">
      <c r="A28" s="19">
        <v>3.2</v>
      </c>
      <c r="B28" s="44" t="s">
        <v>105</v>
      </c>
      <c r="C28" s="19" t="s">
        <v>33</v>
      </c>
      <c r="D28" s="45">
        <v>16</v>
      </c>
      <c r="E28" s="144">
        <v>310</v>
      </c>
      <c r="F28" s="157">
        <f>D28*E28</f>
        <v>4960</v>
      </c>
    </row>
    <row r="29" spans="1:6" s="1" customFormat="1" ht="85.95" customHeight="1" x14ac:dyDescent="0.25">
      <c r="A29" s="38">
        <v>3.3</v>
      </c>
      <c r="B29" s="36" t="s">
        <v>133</v>
      </c>
      <c r="C29" s="38" t="s">
        <v>64</v>
      </c>
      <c r="D29" s="39">
        <v>1</v>
      </c>
      <c r="E29" s="113">
        <v>300</v>
      </c>
      <c r="F29" s="114">
        <f>D29*E29</f>
        <v>300</v>
      </c>
    </row>
    <row r="30" spans="1:6" s="1" customFormat="1" ht="19.95" customHeight="1" thickBot="1" x14ac:dyDescent="0.35">
      <c r="A30" s="8"/>
      <c r="B30" s="186" t="s">
        <v>26</v>
      </c>
      <c r="C30" s="186"/>
      <c r="D30" s="186"/>
      <c r="E30" s="187"/>
      <c r="F30" s="120">
        <f>SUM(F27:F29)</f>
        <v>5940</v>
      </c>
    </row>
    <row r="31" spans="1:6" s="1" customFormat="1" ht="20.100000000000001" customHeight="1" thickBot="1" x14ac:dyDescent="0.3">
      <c r="A31" s="8"/>
      <c r="B31" s="16"/>
      <c r="C31" s="16"/>
      <c r="D31" s="16"/>
      <c r="E31" s="119"/>
      <c r="F31" s="119"/>
    </row>
    <row r="32" spans="1:6" s="1" customFormat="1" ht="20.100000000000001" customHeight="1" thickBot="1" x14ac:dyDescent="0.3">
      <c r="A32" s="34" t="s">
        <v>37</v>
      </c>
      <c r="B32" s="169" t="s">
        <v>14</v>
      </c>
      <c r="C32" s="170"/>
      <c r="D32" s="170"/>
      <c r="E32" s="170"/>
      <c r="F32" s="171"/>
    </row>
    <row r="33" spans="1:6" s="1" customFormat="1" ht="19.95" customHeight="1" thickBot="1" x14ac:dyDescent="0.3">
      <c r="A33" s="9" t="s">
        <v>2</v>
      </c>
      <c r="B33" s="9" t="s">
        <v>1</v>
      </c>
      <c r="C33" s="9" t="s">
        <v>3</v>
      </c>
      <c r="D33" s="9" t="s">
        <v>4</v>
      </c>
      <c r="E33" s="99" t="s">
        <v>5</v>
      </c>
      <c r="F33" s="99" t="s">
        <v>6</v>
      </c>
    </row>
    <row r="34" spans="1:6" s="1" customFormat="1" ht="83.4" customHeight="1" thickBot="1" x14ac:dyDescent="0.3">
      <c r="A34" s="5">
        <v>4.0999999999999996</v>
      </c>
      <c r="B34" s="7" t="s">
        <v>17</v>
      </c>
      <c r="C34" s="9" t="s">
        <v>23</v>
      </c>
      <c r="D34" s="10">
        <v>1288.25</v>
      </c>
      <c r="E34" s="99">
        <v>2</v>
      </c>
      <c r="F34" s="117">
        <f>D34*E34</f>
        <v>2576.5</v>
      </c>
    </row>
    <row r="35" spans="1:6" s="1" customFormat="1" ht="88.2" customHeight="1" thickBot="1" x14ac:dyDescent="0.3">
      <c r="A35" s="5">
        <v>4.2</v>
      </c>
      <c r="B35" s="7" t="s">
        <v>18</v>
      </c>
      <c r="C35" s="9" t="s">
        <v>23</v>
      </c>
      <c r="D35" s="10">
        <v>471.3</v>
      </c>
      <c r="E35" s="99">
        <v>2</v>
      </c>
      <c r="F35" s="117">
        <f t="shared" ref="F35:F36" si="1">D35*E35</f>
        <v>942.6</v>
      </c>
    </row>
    <row r="36" spans="1:6" s="1" customFormat="1" ht="33.6" customHeight="1" thickBot="1" x14ac:dyDescent="0.3">
      <c r="A36" s="9">
        <v>4.3</v>
      </c>
      <c r="B36" s="7" t="s">
        <v>19</v>
      </c>
      <c r="C36" s="9" t="s">
        <v>24</v>
      </c>
      <c r="D36" s="10">
        <v>1</v>
      </c>
      <c r="E36" s="99">
        <v>100</v>
      </c>
      <c r="F36" s="117">
        <f t="shared" si="1"/>
        <v>100</v>
      </c>
    </row>
    <row r="37" spans="1:6" s="1" customFormat="1" ht="20.100000000000001" customHeight="1" thickBot="1" x14ac:dyDescent="0.35">
      <c r="A37" s="18"/>
      <c r="B37" s="173" t="s">
        <v>15</v>
      </c>
      <c r="C37" s="173"/>
      <c r="D37" s="173"/>
      <c r="E37" s="188"/>
      <c r="F37" s="121">
        <f>F34+F35+F36</f>
        <v>3619.1</v>
      </c>
    </row>
    <row r="38" spans="1:6" s="1" customFormat="1" ht="88.8" customHeight="1" thickBot="1" x14ac:dyDescent="0.3">
      <c r="A38" s="8"/>
      <c r="B38" s="16"/>
      <c r="C38" s="16"/>
      <c r="D38" s="16"/>
      <c r="E38" s="119"/>
      <c r="F38" s="119"/>
    </row>
    <row r="39" spans="1:6" s="1" customFormat="1" ht="20.100000000000001" customHeight="1" thickBot="1" x14ac:dyDescent="0.35">
      <c r="A39" s="32" t="s">
        <v>38</v>
      </c>
      <c r="B39" s="180" t="s">
        <v>74</v>
      </c>
      <c r="C39" s="181"/>
      <c r="D39" s="181"/>
      <c r="E39" s="181"/>
      <c r="F39" s="182"/>
    </row>
    <row r="40" spans="1:6" s="1" customFormat="1" ht="20.100000000000001" customHeight="1" thickBot="1" x14ac:dyDescent="0.3">
      <c r="A40" s="2" t="s">
        <v>2</v>
      </c>
      <c r="B40" s="2" t="s">
        <v>1</v>
      </c>
      <c r="C40" s="2" t="s">
        <v>3</v>
      </c>
      <c r="D40" s="2" t="s">
        <v>4</v>
      </c>
      <c r="E40" s="122" t="s">
        <v>5</v>
      </c>
      <c r="F40" s="122" t="s">
        <v>6</v>
      </c>
    </row>
    <row r="41" spans="1:6" s="1" customFormat="1" ht="18.600000000000001" customHeight="1" thickBot="1" x14ac:dyDescent="0.3">
      <c r="A41" s="2">
        <v>5.0999999999999996</v>
      </c>
      <c r="B41" s="58" t="s">
        <v>106</v>
      </c>
      <c r="C41" s="2" t="s">
        <v>23</v>
      </c>
      <c r="D41" s="10">
        <v>26.42</v>
      </c>
      <c r="E41" s="99">
        <v>20</v>
      </c>
      <c r="F41" s="117">
        <f>D41*E41</f>
        <v>528.40000000000009</v>
      </c>
    </row>
    <row r="42" spans="1:6" s="1" customFormat="1" ht="106.2" customHeight="1" thickBot="1" x14ac:dyDescent="0.3">
      <c r="A42" s="2">
        <v>5.2</v>
      </c>
      <c r="B42" s="58" t="s">
        <v>72</v>
      </c>
      <c r="C42" s="2" t="s">
        <v>23</v>
      </c>
      <c r="D42" s="10">
        <v>242.5</v>
      </c>
      <c r="E42" s="99">
        <v>1</v>
      </c>
      <c r="F42" s="117">
        <f t="shared" ref="F42:F44" si="2">D42*E42</f>
        <v>242.5</v>
      </c>
    </row>
    <row r="43" spans="1:6" s="1" customFormat="1" ht="58.95" customHeight="1" thickBot="1" x14ac:dyDescent="0.3">
      <c r="A43" s="42">
        <v>5.3</v>
      </c>
      <c r="B43" s="7" t="s">
        <v>75</v>
      </c>
      <c r="C43" s="5" t="s">
        <v>23</v>
      </c>
      <c r="D43" s="6">
        <v>26.42</v>
      </c>
      <c r="E43" s="110">
        <v>20</v>
      </c>
      <c r="F43" s="117">
        <f t="shared" si="2"/>
        <v>528.40000000000009</v>
      </c>
    </row>
    <row r="44" spans="1:6" s="1" customFormat="1" ht="58.95" customHeight="1" thickBot="1" x14ac:dyDescent="0.3">
      <c r="A44" s="42">
        <v>5.4</v>
      </c>
      <c r="B44" s="7" t="s">
        <v>76</v>
      </c>
      <c r="C44" s="5" t="s">
        <v>23</v>
      </c>
      <c r="D44" s="6">
        <v>136.5</v>
      </c>
      <c r="E44" s="110">
        <v>20</v>
      </c>
      <c r="F44" s="117">
        <f t="shared" si="2"/>
        <v>2730</v>
      </c>
    </row>
    <row r="45" spans="1:6" s="1" customFormat="1" ht="20.100000000000001" customHeight="1" thickBot="1" x14ac:dyDescent="0.3">
      <c r="A45" s="43"/>
      <c r="B45" s="167" t="s">
        <v>77</v>
      </c>
      <c r="C45" s="167"/>
      <c r="D45" s="167"/>
      <c r="E45" s="168"/>
      <c r="F45" s="107">
        <f>SUM(F41:F44)</f>
        <v>4029.3</v>
      </c>
    </row>
    <row r="46" spans="1:6" s="1" customFormat="1" ht="20.100000000000001" customHeight="1" thickBot="1" x14ac:dyDescent="0.3">
      <c r="A46" s="8"/>
      <c r="B46" s="16"/>
      <c r="C46" s="16"/>
      <c r="D46" s="16"/>
      <c r="E46" s="119"/>
      <c r="F46" s="119"/>
    </row>
    <row r="47" spans="1:6" s="1" customFormat="1" ht="20.100000000000001" customHeight="1" thickBot="1" x14ac:dyDescent="0.3">
      <c r="A47" s="31" t="s">
        <v>39</v>
      </c>
      <c r="B47" s="183" t="s">
        <v>30</v>
      </c>
      <c r="C47" s="184"/>
      <c r="D47" s="184"/>
      <c r="E47" s="184"/>
      <c r="F47" s="185"/>
    </row>
    <row r="48" spans="1:6" s="1" customFormat="1" ht="20.100000000000001" customHeight="1" thickBot="1" x14ac:dyDescent="0.3">
      <c r="A48" s="9" t="s">
        <v>2</v>
      </c>
      <c r="B48" s="9" t="s">
        <v>1</v>
      </c>
      <c r="C48" s="9" t="s">
        <v>3</v>
      </c>
      <c r="D48" s="9" t="s">
        <v>4</v>
      </c>
      <c r="E48" s="99" t="s">
        <v>5</v>
      </c>
      <c r="F48" s="99" t="s">
        <v>6</v>
      </c>
    </row>
    <row r="49" spans="1:6" s="1" customFormat="1" ht="87.6" customHeight="1" thickBot="1" x14ac:dyDescent="0.3">
      <c r="A49" s="55">
        <v>6.1</v>
      </c>
      <c r="B49" s="56" t="s">
        <v>73</v>
      </c>
      <c r="C49" s="55" t="s">
        <v>23</v>
      </c>
      <c r="D49" s="55">
        <v>244.11</v>
      </c>
      <c r="E49" s="98">
        <v>1</v>
      </c>
      <c r="F49" s="158">
        <f>D49*E49</f>
        <v>244.11</v>
      </c>
    </row>
    <row r="50" spans="1:6" s="1" customFormat="1" ht="72.599999999999994" customHeight="1" thickBot="1" x14ac:dyDescent="0.3">
      <c r="A50" s="57">
        <v>6.2</v>
      </c>
      <c r="B50" s="56" t="s">
        <v>57</v>
      </c>
      <c r="C50" s="55" t="s">
        <v>23</v>
      </c>
      <c r="D50" s="70">
        <v>244.1</v>
      </c>
      <c r="E50" s="98">
        <v>18</v>
      </c>
      <c r="F50" s="159">
        <f>D50*E50</f>
        <v>4393.8</v>
      </c>
    </row>
    <row r="51" spans="1:6" s="1" customFormat="1" ht="20.100000000000001" customHeight="1" thickBot="1" x14ac:dyDescent="0.3">
      <c r="A51" s="8"/>
      <c r="B51" s="173" t="s">
        <v>25</v>
      </c>
      <c r="C51" s="165"/>
      <c r="D51" s="165"/>
      <c r="E51" s="188"/>
      <c r="F51" s="123">
        <f>SUM(F49:F50)</f>
        <v>4637.91</v>
      </c>
    </row>
    <row r="52" spans="1:6" s="1" customFormat="1" ht="20.100000000000001" customHeight="1" thickBot="1" x14ac:dyDescent="0.35">
      <c r="A52"/>
      <c r="B52"/>
      <c r="C52"/>
      <c r="D52"/>
      <c r="E52" s="108"/>
      <c r="F52" s="108"/>
    </row>
    <row r="53" spans="1:6" s="1" customFormat="1" ht="20.100000000000001" customHeight="1" thickBot="1" x14ac:dyDescent="0.3">
      <c r="A53" s="32" t="s">
        <v>40</v>
      </c>
      <c r="B53" s="183" t="s">
        <v>85</v>
      </c>
      <c r="C53" s="184"/>
      <c r="D53" s="184"/>
      <c r="E53" s="184"/>
      <c r="F53" s="185"/>
    </row>
    <row r="54" spans="1:6" s="1" customFormat="1" ht="20.100000000000001" customHeight="1" thickBot="1" x14ac:dyDescent="0.3">
      <c r="A54" s="2" t="s">
        <v>2</v>
      </c>
      <c r="B54" s="2" t="s">
        <v>1</v>
      </c>
      <c r="C54" s="2" t="s">
        <v>3</v>
      </c>
      <c r="D54" s="2" t="s">
        <v>4</v>
      </c>
      <c r="E54" s="122" t="s">
        <v>5</v>
      </c>
      <c r="F54" s="122" t="s">
        <v>6</v>
      </c>
    </row>
    <row r="55" spans="1:6" s="1" customFormat="1" ht="84" customHeight="1" thickBot="1" x14ac:dyDescent="0.3">
      <c r="A55" s="9">
        <v>7.1</v>
      </c>
      <c r="B55" s="7" t="s">
        <v>97</v>
      </c>
      <c r="C55" s="9" t="s">
        <v>24</v>
      </c>
      <c r="D55" s="10">
        <v>4</v>
      </c>
      <c r="E55" s="99">
        <v>200</v>
      </c>
      <c r="F55" s="117">
        <f>D55*E55</f>
        <v>800</v>
      </c>
    </row>
    <row r="56" spans="1:6" ht="20.100000000000001" customHeight="1" thickBot="1" x14ac:dyDescent="0.35">
      <c r="A56" s="12"/>
      <c r="B56" s="173" t="s">
        <v>86</v>
      </c>
      <c r="C56" s="173"/>
      <c r="D56" s="173"/>
      <c r="E56" s="188"/>
      <c r="F56" s="107">
        <f>F55</f>
        <v>800</v>
      </c>
    </row>
    <row r="57" spans="1:6" ht="20.100000000000001" customHeight="1" thickBot="1" x14ac:dyDescent="0.35">
      <c r="A57" s="189"/>
      <c r="B57" s="189"/>
      <c r="C57" s="189"/>
      <c r="D57" s="189"/>
      <c r="E57" s="189"/>
      <c r="F57" s="189"/>
    </row>
    <row r="58" spans="1:6" ht="20.100000000000001" customHeight="1" thickBot="1" x14ac:dyDescent="0.35">
      <c r="A58" s="32" t="s">
        <v>82</v>
      </c>
      <c r="B58" s="183" t="s">
        <v>87</v>
      </c>
      <c r="C58" s="184"/>
      <c r="D58" s="184"/>
      <c r="E58" s="184"/>
      <c r="F58" s="185"/>
    </row>
    <row r="59" spans="1:6" ht="20.100000000000001" customHeight="1" thickBot="1" x14ac:dyDescent="0.35">
      <c r="A59" s="9" t="s">
        <v>2</v>
      </c>
      <c r="B59" s="9" t="s">
        <v>1</v>
      </c>
      <c r="C59" s="9" t="s">
        <v>3</v>
      </c>
      <c r="D59" s="9" t="s">
        <v>4</v>
      </c>
      <c r="E59" s="99" t="s">
        <v>5</v>
      </c>
      <c r="F59" s="99" t="s">
        <v>6</v>
      </c>
    </row>
    <row r="60" spans="1:6" ht="88.95" customHeight="1" thickBot="1" x14ac:dyDescent="0.35">
      <c r="A60" s="9">
        <v>8.1</v>
      </c>
      <c r="B60" s="7" t="s">
        <v>98</v>
      </c>
      <c r="C60" s="9" t="s">
        <v>24</v>
      </c>
      <c r="D60" s="10">
        <v>4</v>
      </c>
      <c r="E60" s="99">
        <v>200</v>
      </c>
      <c r="F60" s="117">
        <f>D60*E60</f>
        <v>800</v>
      </c>
    </row>
    <row r="61" spans="1:6" ht="19.95" customHeight="1" thickBot="1" x14ac:dyDescent="0.35">
      <c r="A61" s="8"/>
      <c r="B61" s="173" t="s">
        <v>88</v>
      </c>
      <c r="C61" s="173"/>
      <c r="D61" s="173"/>
      <c r="E61" s="188"/>
      <c r="F61" s="121">
        <f>F60</f>
        <v>800</v>
      </c>
    </row>
    <row r="62" spans="1:6" ht="19.95" customHeight="1" thickBot="1" x14ac:dyDescent="0.35">
      <c r="A62" s="214"/>
      <c r="B62" s="214"/>
      <c r="C62" s="214"/>
      <c r="D62" s="214"/>
      <c r="E62" s="214"/>
      <c r="F62" s="214"/>
    </row>
    <row r="63" spans="1:6" ht="19.95" customHeight="1" thickBot="1" x14ac:dyDescent="0.35">
      <c r="A63" s="31" t="s">
        <v>41</v>
      </c>
      <c r="B63" s="180" t="s">
        <v>66</v>
      </c>
      <c r="C63" s="181"/>
      <c r="D63" s="181"/>
      <c r="E63" s="181"/>
      <c r="F63" s="182"/>
    </row>
    <row r="64" spans="1:6" ht="19.95" customHeight="1" thickBot="1" x14ac:dyDescent="0.35">
      <c r="A64" s="2" t="s">
        <v>2</v>
      </c>
      <c r="B64" s="2" t="s">
        <v>1</v>
      </c>
      <c r="C64" s="2" t="s">
        <v>3</v>
      </c>
      <c r="D64" s="2" t="s">
        <v>4</v>
      </c>
      <c r="E64" s="122" t="s">
        <v>5</v>
      </c>
      <c r="F64" s="122" t="s">
        <v>6</v>
      </c>
    </row>
    <row r="65" spans="1:7" ht="34.5" customHeight="1" thickBot="1" x14ac:dyDescent="0.35">
      <c r="A65" s="2">
        <v>9.1</v>
      </c>
      <c r="B65" s="11" t="s">
        <v>90</v>
      </c>
      <c r="C65" s="2" t="s">
        <v>24</v>
      </c>
      <c r="D65" s="10">
        <v>4</v>
      </c>
      <c r="E65" s="99">
        <v>85</v>
      </c>
      <c r="F65" s="117">
        <f>D65*E65</f>
        <v>340</v>
      </c>
    </row>
    <row r="66" spans="1:7" ht="33" customHeight="1" thickBot="1" x14ac:dyDescent="0.35">
      <c r="A66" s="2">
        <v>9.1999999999999993</v>
      </c>
      <c r="B66" s="11" t="s">
        <v>67</v>
      </c>
      <c r="C66" s="2" t="s">
        <v>24</v>
      </c>
      <c r="D66" s="10">
        <v>4</v>
      </c>
      <c r="E66" s="99">
        <v>85</v>
      </c>
      <c r="F66" s="117">
        <f t="shared" ref="F66:F71" si="3">D66*E66</f>
        <v>340</v>
      </c>
    </row>
    <row r="67" spans="1:7" ht="32.4" customHeight="1" thickBot="1" x14ac:dyDescent="0.35">
      <c r="A67" s="2">
        <v>9.3000000000000007</v>
      </c>
      <c r="B67" s="11" t="s">
        <v>99</v>
      </c>
      <c r="C67" s="2" t="s">
        <v>24</v>
      </c>
      <c r="D67" s="10">
        <v>4</v>
      </c>
      <c r="E67" s="99">
        <v>100</v>
      </c>
      <c r="F67" s="117">
        <f t="shared" si="3"/>
        <v>400</v>
      </c>
    </row>
    <row r="68" spans="1:7" ht="29.4" customHeight="1" thickBot="1" x14ac:dyDescent="0.35">
      <c r="A68" s="2">
        <v>9.4</v>
      </c>
      <c r="B68" s="11" t="s">
        <v>89</v>
      </c>
      <c r="C68" s="2" t="s">
        <v>24</v>
      </c>
      <c r="D68" s="10">
        <v>4</v>
      </c>
      <c r="E68" s="99">
        <v>25</v>
      </c>
      <c r="F68" s="117">
        <f t="shared" si="3"/>
        <v>100</v>
      </c>
    </row>
    <row r="69" spans="1:7" ht="29.4" customHeight="1" thickBot="1" x14ac:dyDescent="0.35">
      <c r="A69" s="2">
        <v>9.5</v>
      </c>
      <c r="B69" s="46" t="s">
        <v>91</v>
      </c>
      <c r="C69" s="2" t="s">
        <v>24</v>
      </c>
      <c r="D69" s="10">
        <v>5</v>
      </c>
      <c r="E69" s="99">
        <v>100</v>
      </c>
      <c r="F69" s="117">
        <f t="shared" si="3"/>
        <v>500</v>
      </c>
    </row>
    <row r="70" spans="1:7" ht="47.4" customHeight="1" thickBot="1" x14ac:dyDescent="0.35">
      <c r="A70" s="2">
        <v>9.6</v>
      </c>
      <c r="B70" s="46" t="s">
        <v>100</v>
      </c>
      <c r="C70" s="2" t="s">
        <v>24</v>
      </c>
      <c r="D70" s="10">
        <v>1</v>
      </c>
      <c r="E70" s="99">
        <v>150</v>
      </c>
      <c r="F70" s="117">
        <f t="shared" si="3"/>
        <v>150</v>
      </c>
    </row>
    <row r="71" spans="1:7" ht="20.100000000000001" customHeight="1" thickBot="1" x14ac:dyDescent="0.35">
      <c r="A71" s="2">
        <v>9.6999999999999993</v>
      </c>
      <c r="B71" s="11" t="s">
        <v>92</v>
      </c>
      <c r="C71" s="2" t="s">
        <v>69</v>
      </c>
      <c r="D71" s="10">
        <v>3</v>
      </c>
      <c r="E71" s="99">
        <v>20</v>
      </c>
      <c r="F71" s="117">
        <f t="shared" si="3"/>
        <v>60</v>
      </c>
    </row>
    <row r="72" spans="1:7" ht="20.100000000000001" customHeight="1" thickBot="1" x14ac:dyDescent="0.35">
      <c r="B72" s="215" t="s">
        <v>68</v>
      </c>
      <c r="C72" s="216"/>
      <c r="D72" s="216"/>
      <c r="E72" s="217"/>
      <c r="F72" s="124">
        <f>F65+F66+F67+F68+F69+F70+F71</f>
        <v>1890</v>
      </c>
    </row>
    <row r="73" spans="1:7" ht="20.100000000000001" customHeight="1" thickBot="1" x14ac:dyDescent="0.35">
      <c r="A73" s="218"/>
      <c r="B73" s="218"/>
      <c r="C73" s="218"/>
      <c r="D73" s="218"/>
      <c r="E73" s="218"/>
      <c r="F73" s="218"/>
    </row>
    <row r="74" spans="1:7" ht="19.95" customHeight="1" thickBot="1" x14ac:dyDescent="0.35">
      <c r="A74" s="32" t="s">
        <v>42</v>
      </c>
      <c r="B74" s="183" t="s">
        <v>27</v>
      </c>
      <c r="C74" s="184"/>
      <c r="D74" s="184"/>
      <c r="E74" s="184"/>
      <c r="F74" s="185"/>
    </row>
    <row r="75" spans="1:7" ht="20.100000000000001" customHeight="1" thickBot="1" x14ac:dyDescent="0.35">
      <c r="A75" s="9" t="s">
        <v>2</v>
      </c>
      <c r="B75" s="9" t="s">
        <v>1</v>
      </c>
      <c r="C75" s="9" t="s">
        <v>3</v>
      </c>
      <c r="D75" s="9" t="s">
        <v>4</v>
      </c>
      <c r="E75" s="99" t="s">
        <v>5</v>
      </c>
      <c r="F75" s="99" t="s">
        <v>6</v>
      </c>
    </row>
    <row r="76" spans="1:7" ht="36" customHeight="1" thickBot="1" x14ac:dyDescent="0.35">
      <c r="A76" s="208"/>
      <c r="B76" s="177" t="s">
        <v>58</v>
      </c>
      <c r="C76" s="178"/>
      <c r="D76" s="178"/>
      <c r="E76" s="178"/>
      <c r="F76" s="179"/>
      <c r="G76" s="4"/>
    </row>
    <row r="77" spans="1:7" ht="44.4" customHeight="1" thickBot="1" x14ac:dyDescent="0.35">
      <c r="A77" s="209"/>
      <c r="B77" s="177" t="s">
        <v>22</v>
      </c>
      <c r="C77" s="178"/>
      <c r="D77" s="178"/>
      <c r="E77" s="178"/>
      <c r="F77" s="179"/>
    </row>
    <row r="78" spans="1:7" ht="39.6" customHeight="1" thickBot="1" x14ac:dyDescent="0.35">
      <c r="A78" s="9">
        <v>10.1</v>
      </c>
      <c r="B78" s="7" t="s">
        <v>132</v>
      </c>
      <c r="C78" s="5" t="s">
        <v>23</v>
      </c>
      <c r="D78" s="6">
        <v>110.14</v>
      </c>
      <c r="E78" s="110">
        <v>20</v>
      </c>
      <c r="F78" s="160">
        <f>D78*E78</f>
        <v>2202.8000000000002</v>
      </c>
    </row>
    <row r="79" spans="1:7" ht="19.95" customHeight="1" thickBot="1" x14ac:dyDescent="0.35">
      <c r="A79" s="8"/>
      <c r="B79" s="193" t="s">
        <v>45</v>
      </c>
      <c r="C79" s="193"/>
      <c r="D79" s="193"/>
      <c r="E79" s="194"/>
      <c r="F79" s="121">
        <f>F78</f>
        <v>2202.8000000000002</v>
      </c>
    </row>
    <row r="80" spans="1:7" ht="12.6" customHeight="1" thickBot="1" x14ac:dyDescent="0.35">
      <c r="A80" s="189"/>
      <c r="B80" s="189"/>
      <c r="C80" s="189"/>
      <c r="D80" s="189"/>
      <c r="E80" s="189"/>
      <c r="F80" s="189"/>
    </row>
    <row r="81" spans="1:6" ht="19.95" customHeight="1" thickBot="1" x14ac:dyDescent="0.35">
      <c r="A81" s="32" t="s">
        <v>43</v>
      </c>
      <c r="B81" s="183" t="s">
        <v>28</v>
      </c>
      <c r="C81" s="184"/>
      <c r="D81" s="184"/>
      <c r="E81" s="184"/>
      <c r="F81" s="185"/>
    </row>
    <row r="82" spans="1:6" ht="19.95" customHeight="1" thickBot="1" x14ac:dyDescent="0.35">
      <c r="A82" s="9" t="s">
        <v>2</v>
      </c>
      <c r="B82" s="9" t="s">
        <v>1</v>
      </c>
      <c r="C82" s="9" t="s">
        <v>3</v>
      </c>
      <c r="D82" s="9" t="s">
        <v>4</v>
      </c>
      <c r="E82" s="99" t="s">
        <v>5</v>
      </c>
      <c r="F82" s="99" t="s">
        <v>6</v>
      </c>
    </row>
    <row r="83" spans="1:6" ht="54" customHeight="1" thickBot="1" x14ac:dyDescent="0.35">
      <c r="A83" s="9">
        <v>11.1</v>
      </c>
      <c r="B83" s="142" t="s">
        <v>83</v>
      </c>
      <c r="C83" s="9" t="s">
        <v>33</v>
      </c>
      <c r="D83" s="10">
        <v>34</v>
      </c>
      <c r="E83" s="99">
        <v>8</v>
      </c>
      <c r="F83" s="117">
        <f>D83*E83</f>
        <v>272</v>
      </c>
    </row>
    <row r="84" spans="1:6" ht="27.6" customHeight="1" thickBot="1" x14ac:dyDescent="0.35">
      <c r="A84" s="9">
        <v>11.2</v>
      </c>
      <c r="B84" s="7" t="s">
        <v>78</v>
      </c>
      <c r="C84" s="9" t="s">
        <v>33</v>
      </c>
      <c r="D84" s="10">
        <v>15</v>
      </c>
      <c r="E84" s="99">
        <v>6</v>
      </c>
      <c r="F84" s="117">
        <f t="shared" ref="F84:F89" si="4">D84*E84</f>
        <v>90</v>
      </c>
    </row>
    <row r="85" spans="1:6" ht="29.4" customHeight="1" thickBot="1" x14ac:dyDescent="0.35">
      <c r="A85" s="9">
        <v>11.3</v>
      </c>
      <c r="B85" s="7" t="s">
        <v>79</v>
      </c>
      <c r="C85" s="9" t="s">
        <v>33</v>
      </c>
      <c r="D85" s="10">
        <v>18</v>
      </c>
      <c r="E85" s="99">
        <v>3</v>
      </c>
      <c r="F85" s="117">
        <f t="shared" si="4"/>
        <v>54</v>
      </c>
    </row>
    <row r="86" spans="1:6" ht="29.4" customHeight="1" thickBot="1" x14ac:dyDescent="0.35">
      <c r="A86" s="9">
        <v>11.4</v>
      </c>
      <c r="B86" s="7" t="s">
        <v>84</v>
      </c>
      <c r="C86" s="9" t="s">
        <v>33</v>
      </c>
      <c r="D86" s="10">
        <v>28</v>
      </c>
      <c r="E86" s="99">
        <v>3</v>
      </c>
      <c r="F86" s="117">
        <f t="shared" si="4"/>
        <v>84</v>
      </c>
    </row>
    <row r="87" spans="1:6" ht="33.6" customHeight="1" thickBot="1" x14ac:dyDescent="0.35">
      <c r="A87" s="9">
        <v>11.5</v>
      </c>
      <c r="B87" s="7" t="s">
        <v>80</v>
      </c>
      <c r="C87" s="9" t="s">
        <v>33</v>
      </c>
      <c r="D87" s="10">
        <v>4</v>
      </c>
      <c r="E87" s="99">
        <v>3</v>
      </c>
      <c r="F87" s="117">
        <f t="shared" si="4"/>
        <v>12</v>
      </c>
    </row>
    <row r="88" spans="1:6" ht="19.95" customHeight="1" thickBot="1" x14ac:dyDescent="0.35">
      <c r="A88" s="9">
        <v>11.6</v>
      </c>
      <c r="B88" s="7" t="s">
        <v>81</v>
      </c>
      <c r="C88" s="9" t="s">
        <v>24</v>
      </c>
      <c r="D88" s="10">
        <v>1</v>
      </c>
      <c r="E88" s="99">
        <v>10</v>
      </c>
      <c r="F88" s="117">
        <f t="shared" si="4"/>
        <v>10</v>
      </c>
    </row>
    <row r="89" spans="1:6" ht="46.95" customHeight="1" thickBot="1" x14ac:dyDescent="0.35">
      <c r="A89" s="9">
        <v>11.7</v>
      </c>
      <c r="B89" s="7" t="s">
        <v>20</v>
      </c>
      <c r="C89" s="9" t="s">
        <v>24</v>
      </c>
      <c r="D89" s="10">
        <v>1</v>
      </c>
      <c r="E89" s="99">
        <v>150</v>
      </c>
      <c r="F89" s="117">
        <f t="shared" si="4"/>
        <v>150</v>
      </c>
    </row>
    <row r="90" spans="1:6" ht="19.95" customHeight="1" thickBot="1" x14ac:dyDescent="0.35">
      <c r="A90" s="1"/>
      <c r="B90" s="190" t="s">
        <v>31</v>
      </c>
      <c r="C90" s="190"/>
      <c r="D90" s="190"/>
      <c r="E90" s="191"/>
      <c r="F90" s="121">
        <f>F89+F88+F87+F86+F85+F84+F83</f>
        <v>672</v>
      </c>
    </row>
    <row r="91" spans="1:6" ht="19.95" customHeight="1" thickBot="1" x14ac:dyDescent="0.35">
      <c r="A91" s="189"/>
      <c r="B91" s="189"/>
      <c r="C91" s="189"/>
      <c r="D91" s="189"/>
      <c r="E91" s="189"/>
      <c r="F91" s="189"/>
    </row>
    <row r="92" spans="1:6" ht="19.95" customHeight="1" thickBot="1" x14ac:dyDescent="0.35">
      <c r="A92" s="32" t="s">
        <v>93</v>
      </c>
      <c r="B92" s="183" t="s">
        <v>109</v>
      </c>
      <c r="C92" s="184"/>
      <c r="D92" s="184"/>
      <c r="E92" s="184"/>
      <c r="F92" s="185"/>
    </row>
    <row r="93" spans="1:6" ht="19.95" customHeight="1" thickBot="1" x14ac:dyDescent="0.35">
      <c r="A93" s="9" t="s">
        <v>2</v>
      </c>
      <c r="B93" s="9" t="s">
        <v>1</v>
      </c>
      <c r="C93" s="9" t="s">
        <v>3</v>
      </c>
      <c r="D93" s="9" t="s">
        <v>4</v>
      </c>
      <c r="E93" s="99" t="s">
        <v>5</v>
      </c>
      <c r="F93" s="99" t="s">
        <v>6</v>
      </c>
    </row>
    <row r="94" spans="1:6" ht="19.95" customHeight="1" x14ac:dyDescent="0.3">
      <c r="A94" s="192" t="s">
        <v>107</v>
      </c>
      <c r="B94" s="192"/>
      <c r="C94" s="192"/>
      <c r="D94" s="192"/>
      <c r="E94" s="192"/>
      <c r="F94" s="192"/>
    </row>
    <row r="95" spans="1:6" ht="19.95" customHeight="1" x14ac:dyDescent="0.3">
      <c r="A95" s="192"/>
      <c r="B95" s="192"/>
      <c r="C95" s="192"/>
      <c r="D95" s="192"/>
      <c r="E95" s="192"/>
      <c r="F95" s="192"/>
    </row>
    <row r="96" spans="1:6" ht="5.4" customHeight="1" x14ac:dyDescent="0.3">
      <c r="A96" s="192"/>
      <c r="B96" s="192"/>
      <c r="C96" s="192"/>
      <c r="D96" s="192"/>
      <c r="E96" s="192"/>
      <c r="F96" s="192"/>
    </row>
    <row r="97" spans="1:6" ht="33.6" customHeight="1" thickBot="1" x14ac:dyDescent="0.35">
      <c r="A97" s="195" t="s">
        <v>108</v>
      </c>
      <c r="B97" s="196"/>
      <c r="C97" s="196"/>
      <c r="D97" s="196"/>
      <c r="E97" s="196"/>
      <c r="F97" s="197"/>
    </row>
    <row r="98" spans="1:6" ht="41.4" customHeight="1" thickBot="1" x14ac:dyDescent="0.35">
      <c r="A98" s="69">
        <v>12.1</v>
      </c>
      <c r="B98" s="68" t="s">
        <v>110</v>
      </c>
      <c r="C98" s="64" t="s">
        <v>64</v>
      </c>
      <c r="D98" s="64">
        <v>1</v>
      </c>
      <c r="E98" s="145">
        <v>500</v>
      </c>
      <c r="F98" s="161">
        <f>E98*D98</f>
        <v>500</v>
      </c>
    </row>
    <row r="99" spans="1:6" ht="19.95" customHeight="1" x14ac:dyDescent="0.3">
      <c r="A99" s="198">
        <v>12.2</v>
      </c>
      <c r="B99" s="63" t="s">
        <v>111</v>
      </c>
      <c r="C99" s="60"/>
      <c r="D99" s="60"/>
      <c r="E99" s="145"/>
      <c r="F99" s="161"/>
    </row>
    <row r="100" spans="1:6" ht="19.95" customHeight="1" x14ac:dyDescent="0.3">
      <c r="A100" s="199"/>
      <c r="B100" s="63" t="s">
        <v>112</v>
      </c>
      <c r="C100" s="60" t="s">
        <v>113</v>
      </c>
      <c r="D100" s="60">
        <v>3</v>
      </c>
      <c r="E100" s="145">
        <v>10</v>
      </c>
      <c r="F100" s="161">
        <f>E100*D100</f>
        <v>30</v>
      </c>
    </row>
    <row r="101" spans="1:6" ht="19.95" customHeight="1" x14ac:dyDescent="0.3">
      <c r="A101" s="199"/>
      <c r="B101" s="63" t="s">
        <v>114</v>
      </c>
      <c r="C101" s="60" t="s">
        <v>113</v>
      </c>
      <c r="D101" s="60">
        <v>3</v>
      </c>
      <c r="E101" s="145">
        <v>10</v>
      </c>
      <c r="F101" s="161">
        <f t="shared" ref="F101:F108" si="5">E101*D101</f>
        <v>30</v>
      </c>
    </row>
    <row r="102" spans="1:6" ht="25.2" customHeight="1" x14ac:dyDescent="0.3">
      <c r="A102" s="60">
        <v>12.3</v>
      </c>
      <c r="B102" s="63" t="s">
        <v>115</v>
      </c>
      <c r="C102" s="60" t="s">
        <v>116</v>
      </c>
      <c r="D102" s="60">
        <v>0.7</v>
      </c>
      <c r="E102" s="145">
        <f>F100+F101</f>
        <v>60</v>
      </c>
      <c r="F102" s="161">
        <f t="shared" si="5"/>
        <v>42</v>
      </c>
    </row>
    <row r="103" spans="1:6" ht="19.95" customHeight="1" x14ac:dyDescent="0.3">
      <c r="A103" s="65">
        <v>12.4</v>
      </c>
      <c r="B103" s="66" t="s">
        <v>117</v>
      </c>
      <c r="C103" s="64" t="s">
        <v>113</v>
      </c>
      <c r="D103" s="64">
        <v>5</v>
      </c>
      <c r="E103" s="145">
        <v>5</v>
      </c>
      <c r="F103" s="161">
        <f t="shared" si="5"/>
        <v>25</v>
      </c>
    </row>
    <row r="104" spans="1:6" ht="27" customHeight="1" x14ac:dyDescent="0.3">
      <c r="A104" s="60">
        <v>12.5</v>
      </c>
      <c r="B104" s="63" t="s">
        <v>118</v>
      </c>
      <c r="C104" s="60" t="s">
        <v>116</v>
      </c>
      <c r="D104" s="60">
        <v>0.4</v>
      </c>
      <c r="E104" s="145">
        <f>F103</f>
        <v>25</v>
      </c>
      <c r="F104" s="161">
        <f t="shared" si="5"/>
        <v>10</v>
      </c>
    </row>
    <row r="105" spans="1:6" ht="19.95" customHeight="1" x14ac:dyDescent="0.3">
      <c r="A105" s="60">
        <v>12.6</v>
      </c>
      <c r="B105" s="63" t="s">
        <v>119</v>
      </c>
      <c r="C105" s="64" t="s">
        <v>113</v>
      </c>
      <c r="D105" s="64">
        <v>4</v>
      </c>
      <c r="E105" s="145">
        <v>1</v>
      </c>
      <c r="F105" s="161">
        <f t="shared" si="5"/>
        <v>4</v>
      </c>
    </row>
    <row r="106" spans="1:6" ht="19.95" customHeight="1" x14ac:dyDescent="0.3">
      <c r="A106" s="60">
        <v>12.7</v>
      </c>
      <c r="B106" s="63" t="s">
        <v>120</v>
      </c>
      <c r="C106" s="64" t="s">
        <v>113</v>
      </c>
      <c r="D106" s="64">
        <v>4</v>
      </c>
      <c r="E106" s="145">
        <v>1</v>
      </c>
      <c r="F106" s="161">
        <f t="shared" si="5"/>
        <v>4</v>
      </c>
    </row>
    <row r="107" spans="1:6" ht="19.95" customHeight="1" x14ac:dyDescent="0.3">
      <c r="A107" s="60">
        <v>12.8</v>
      </c>
      <c r="B107" s="63" t="s">
        <v>121</v>
      </c>
      <c r="C107" s="64" t="s">
        <v>64</v>
      </c>
      <c r="D107" s="64">
        <v>1</v>
      </c>
      <c r="E107" s="145">
        <v>40</v>
      </c>
      <c r="F107" s="161">
        <f t="shared" si="5"/>
        <v>40</v>
      </c>
    </row>
    <row r="108" spans="1:6" ht="19.95" customHeight="1" x14ac:dyDescent="0.3">
      <c r="A108" s="60">
        <v>12.9</v>
      </c>
      <c r="B108" s="63" t="s">
        <v>122</v>
      </c>
      <c r="C108" s="64" t="s">
        <v>24</v>
      </c>
      <c r="D108" s="64">
        <v>1</v>
      </c>
      <c r="E108" s="145">
        <v>50</v>
      </c>
      <c r="F108" s="161">
        <f t="shared" si="5"/>
        <v>50</v>
      </c>
    </row>
    <row r="109" spans="1:6" ht="19.95" customHeight="1" thickBot="1" x14ac:dyDescent="0.35">
      <c r="A109" s="201" t="s">
        <v>176</v>
      </c>
      <c r="B109" s="202"/>
      <c r="C109" s="202"/>
      <c r="D109" s="202"/>
      <c r="E109" s="203"/>
      <c r="F109" s="162">
        <f>SUM(F98:F108)</f>
        <v>735</v>
      </c>
    </row>
    <row r="110" spans="1:6" ht="19.95" customHeight="1" thickBot="1" x14ac:dyDescent="0.35">
      <c r="A110" s="67"/>
      <c r="B110" s="72" t="s">
        <v>131</v>
      </c>
      <c r="C110" s="74" t="s">
        <v>64</v>
      </c>
      <c r="D110" s="74">
        <v>12</v>
      </c>
      <c r="E110" s="146">
        <f>F109</f>
        <v>735</v>
      </c>
      <c r="F110" s="125">
        <f>D110*E110</f>
        <v>8820</v>
      </c>
    </row>
    <row r="111" spans="1:6" ht="19.95" customHeight="1" thickBot="1" x14ac:dyDescent="0.35">
      <c r="A111" s="71"/>
      <c r="B111" s="204" t="s">
        <v>130</v>
      </c>
      <c r="C111" s="204"/>
      <c r="D111" s="204"/>
      <c r="E111" s="205"/>
      <c r="F111" s="126">
        <f>F110</f>
        <v>8820</v>
      </c>
    </row>
    <row r="112" spans="1:6" ht="19.95" customHeight="1" thickBot="1" x14ac:dyDescent="0.35">
      <c r="A112" s="200"/>
      <c r="B112" s="200"/>
      <c r="C112" s="200"/>
      <c r="D112" s="200"/>
      <c r="E112" s="200"/>
      <c r="F112" s="189"/>
    </row>
    <row r="113" spans="1:6" ht="19.95" customHeight="1" thickBot="1" x14ac:dyDescent="0.35">
      <c r="A113" s="33" t="s">
        <v>94</v>
      </c>
      <c r="B113" s="180" t="s">
        <v>44</v>
      </c>
      <c r="C113" s="181"/>
      <c r="D113" s="181"/>
      <c r="E113" s="181"/>
      <c r="F113" s="182"/>
    </row>
    <row r="114" spans="1:6" ht="19.95" customHeight="1" thickBot="1" x14ac:dyDescent="0.35">
      <c r="A114" s="9" t="s">
        <v>2</v>
      </c>
      <c r="B114" s="9" t="s">
        <v>1</v>
      </c>
      <c r="C114" s="9" t="s">
        <v>3</v>
      </c>
      <c r="D114" s="9" t="s">
        <v>4</v>
      </c>
      <c r="E114" s="99" t="s">
        <v>5</v>
      </c>
      <c r="F114" s="99" t="s">
        <v>6</v>
      </c>
    </row>
    <row r="115" spans="1:6" ht="33" customHeight="1" thickBot="1" x14ac:dyDescent="0.35">
      <c r="A115" s="9">
        <v>13.1</v>
      </c>
      <c r="B115" s="7" t="s">
        <v>59</v>
      </c>
      <c r="C115" s="9" t="s">
        <v>24</v>
      </c>
      <c r="D115" s="10">
        <v>1</v>
      </c>
      <c r="E115" s="99">
        <v>100</v>
      </c>
      <c r="F115" s="117">
        <f t="shared" ref="F115:F120" si="6">D115*E115</f>
        <v>100</v>
      </c>
    </row>
    <row r="116" spans="1:6" ht="57.6" customHeight="1" thickBot="1" x14ac:dyDescent="0.35">
      <c r="A116" s="9">
        <v>13.2</v>
      </c>
      <c r="B116" s="7" t="s">
        <v>123</v>
      </c>
      <c r="C116" s="9" t="s">
        <v>23</v>
      </c>
      <c r="D116" s="10">
        <v>90.93</v>
      </c>
      <c r="E116" s="99">
        <v>2</v>
      </c>
      <c r="F116" s="117">
        <f t="shared" si="6"/>
        <v>181.86</v>
      </c>
    </row>
    <row r="117" spans="1:6" ht="57.6" customHeight="1" thickBot="1" x14ac:dyDescent="0.35">
      <c r="A117" s="9">
        <v>13.3</v>
      </c>
      <c r="B117" s="7" t="s">
        <v>124</v>
      </c>
      <c r="C117" s="9" t="s">
        <v>23</v>
      </c>
      <c r="D117" s="10">
        <v>90.93</v>
      </c>
      <c r="E117" s="99">
        <v>18</v>
      </c>
      <c r="F117" s="117">
        <f t="shared" si="6"/>
        <v>1636.7400000000002</v>
      </c>
    </row>
    <row r="118" spans="1:6" ht="73.2" customHeight="1" thickBot="1" x14ac:dyDescent="0.35">
      <c r="A118" s="9">
        <v>13.4</v>
      </c>
      <c r="B118" s="7" t="s">
        <v>125</v>
      </c>
      <c r="C118" s="9" t="s">
        <v>24</v>
      </c>
      <c r="D118" s="10">
        <v>1</v>
      </c>
      <c r="E118" s="99">
        <v>150</v>
      </c>
      <c r="F118" s="117">
        <f t="shared" si="6"/>
        <v>150</v>
      </c>
    </row>
    <row r="119" spans="1:6" ht="33" customHeight="1" thickBot="1" x14ac:dyDescent="0.35">
      <c r="A119" s="9">
        <v>13.5</v>
      </c>
      <c r="B119" s="7" t="s">
        <v>126</v>
      </c>
      <c r="C119" s="9" t="s">
        <v>24</v>
      </c>
      <c r="D119" s="10">
        <v>1</v>
      </c>
      <c r="E119" s="99">
        <v>150</v>
      </c>
      <c r="F119" s="117">
        <f t="shared" si="6"/>
        <v>150</v>
      </c>
    </row>
    <row r="120" spans="1:6" ht="33" customHeight="1" thickBot="1" x14ac:dyDescent="0.35">
      <c r="A120" s="9">
        <v>13.6</v>
      </c>
      <c r="B120" s="40" t="s">
        <v>16</v>
      </c>
      <c r="C120" s="9" t="s">
        <v>24</v>
      </c>
      <c r="D120" s="10">
        <v>1</v>
      </c>
      <c r="E120" s="99">
        <v>100</v>
      </c>
      <c r="F120" s="117">
        <f t="shared" si="6"/>
        <v>100</v>
      </c>
    </row>
    <row r="121" spans="1:6" ht="19.95" customHeight="1" thickBot="1" x14ac:dyDescent="0.35">
      <c r="A121" s="13"/>
      <c r="B121" s="206" t="s">
        <v>32</v>
      </c>
      <c r="C121" s="206"/>
      <c r="D121" s="206"/>
      <c r="E121" s="207"/>
      <c r="F121" s="124">
        <f>SUM(F115:F120)</f>
        <v>2318.6000000000004</v>
      </c>
    </row>
    <row r="122" spans="1:6" ht="19.95" customHeight="1" thickBot="1" x14ac:dyDescent="0.35"/>
    <row r="123" spans="1:6" ht="19.95" customHeight="1" thickBot="1" x14ac:dyDescent="0.35">
      <c r="A123" s="61"/>
      <c r="B123" s="183" t="s">
        <v>35</v>
      </c>
      <c r="C123" s="184"/>
      <c r="D123" s="184"/>
      <c r="E123" s="184"/>
      <c r="F123" s="185"/>
    </row>
    <row r="124" spans="1:6" ht="19.95" customHeight="1" thickBot="1" x14ac:dyDescent="0.35">
      <c r="A124" s="61"/>
      <c r="B124" s="61"/>
      <c r="C124" s="61"/>
      <c r="D124" s="61"/>
      <c r="E124" s="147"/>
      <c r="F124" s="127"/>
    </row>
    <row r="125" spans="1:6" ht="19.95" customHeight="1" thickBot="1" x14ac:dyDescent="0.35">
      <c r="A125" s="78" t="s">
        <v>12</v>
      </c>
      <c r="B125" s="219" t="str">
        <f>B4</f>
        <v xml:space="preserve">  PUNËT PËRGATITORE</v>
      </c>
      <c r="C125" s="220"/>
      <c r="D125" s="220"/>
      <c r="E125" s="221"/>
      <c r="F125" s="102">
        <f>F10</f>
        <v>700</v>
      </c>
    </row>
    <row r="126" spans="1:6" ht="19.95" customHeight="1" thickBot="1" x14ac:dyDescent="0.35">
      <c r="A126" s="78" t="s">
        <v>13</v>
      </c>
      <c r="B126" s="219" t="str">
        <f>B12</f>
        <v>PUNËT E DEMONTIMIT</v>
      </c>
      <c r="C126" s="220"/>
      <c r="D126" s="220"/>
      <c r="E126" s="221"/>
      <c r="F126" s="102">
        <f>F22</f>
        <v>2886.3440000000001</v>
      </c>
    </row>
    <row r="127" spans="1:6" ht="19.95" customHeight="1" thickBot="1" x14ac:dyDescent="0.35">
      <c r="A127" s="78" t="s">
        <v>36</v>
      </c>
      <c r="B127" s="79" t="str">
        <f>B24</f>
        <v>PUNIMËT E ZDRUKTHTARIS</v>
      </c>
      <c r="C127" s="80"/>
      <c r="D127" s="80"/>
      <c r="E127" s="148"/>
      <c r="F127" s="102">
        <f>F30</f>
        <v>5940</v>
      </c>
    </row>
    <row r="128" spans="1:6" ht="19.95" customHeight="1" thickBot="1" x14ac:dyDescent="0.35">
      <c r="A128" s="78" t="s">
        <v>37</v>
      </c>
      <c r="B128" s="79" t="str">
        <f>B32</f>
        <v xml:space="preserve">PUNËT E NGJYROSJES DHE MOLERIMIT </v>
      </c>
      <c r="C128" s="80"/>
      <c r="D128" s="80"/>
      <c r="E128" s="148"/>
      <c r="F128" s="102">
        <f>F37</f>
        <v>3619.1</v>
      </c>
    </row>
    <row r="129" spans="1:7" ht="19.95" customHeight="1" thickBot="1" x14ac:dyDescent="0.35">
      <c r="A129" s="78" t="s">
        <v>38</v>
      </c>
      <c r="B129" s="79" t="str">
        <f>B39</f>
        <v>PUNIMËT E KERAMIKES</v>
      </c>
      <c r="C129" s="80"/>
      <c r="D129" s="80"/>
      <c r="E129" s="148"/>
      <c r="F129" s="102">
        <f>F45</f>
        <v>4029.3</v>
      </c>
    </row>
    <row r="130" spans="1:7" ht="19.95" customHeight="1" thickBot="1" x14ac:dyDescent="0.35">
      <c r="A130" s="78" t="s">
        <v>39</v>
      </c>
      <c r="B130" s="79" t="str">
        <f>B47</f>
        <v>PUNIMËT E DYSHEMEVE</v>
      </c>
      <c r="C130" s="80"/>
      <c r="D130" s="80"/>
      <c r="E130" s="148"/>
      <c r="F130" s="102">
        <f>F51</f>
        <v>4637.91</v>
      </c>
    </row>
    <row r="131" spans="1:7" ht="19.95" customHeight="1" thickBot="1" x14ac:dyDescent="0.35">
      <c r="A131" s="78" t="s">
        <v>40</v>
      </c>
      <c r="B131" s="79" t="str">
        <f>B53</f>
        <v>INSTALIMET E UJËSJELLËSIT</v>
      </c>
      <c r="C131" s="80"/>
      <c r="D131" s="80"/>
      <c r="E131" s="148"/>
      <c r="F131" s="102">
        <f>F56</f>
        <v>800</v>
      </c>
    </row>
    <row r="132" spans="1:7" ht="19.95" customHeight="1" thickBot="1" x14ac:dyDescent="0.35">
      <c r="A132" s="78" t="s">
        <v>82</v>
      </c>
      <c r="B132" s="79" t="str">
        <f>B58</f>
        <v>INSTALIMET E KANALIZIMIT</v>
      </c>
      <c r="C132" s="80"/>
      <c r="D132" s="80"/>
      <c r="E132" s="148"/>
      <c r="F132" s="102">
        <f>F61</f>
        <v>800</v>
      </c>
    </row>
    <row r="133" spans="1:7" ht="19.95" customHeight="1" thickBot="1" x14ac:dyDescent="0.35">
      <c r="A133" s="78" t="s">
        <v>41</v>
      </c>
      <c r="B133" s="79" t="str">
        <f>B63</f>
        <v xml:space="preserve">PUNIMËT E SANITARISË </v>
      </c>
      <c r="C133" s="80"/>
      <c r="D133" s="80"/>
      <c r="E133" s="148"/>
      <c r="F133" s="102">
        <f>F72</f>
        <v>1890</v>
      </c>
    </row>
    <row r="134" spans="1:7" ht="19.95" customHeight="1" thickBot="1" x14ac:dyDescent="0.35">
      <c r="A134" s="78" t="s">
        <v>42</v>
      </c>
      <c r="B134" s="79" t="str">
        <f>B74</f>
        <v>PUNIMET E PËRDEVE ME TRAKA VERTIKALE PËR DRITARE</v>
      </c>
      <c r="C134" s="80"/>
      <c r="D134" s="80"/>
      <c r="E134" s="148"/>
      <c r="F134" s="102">
        <f>F79</f>
        <v>2202.8000000000002</v>
      </c>
    </row>
    <row r="135" spans="1:7" ht="19.95" customHeight="1" thickBot="1" x14ac:dyDescent="0.35">
      <c r="A135" s="78" t="s">
        <v>43</v>
      </c>
      <c r="B135" s="79" t="str">
        <f>B81</f>
        <v>PUNIMET E ELEKTRIKES - NDRIÇIMIT</v>
      </c>
      <c r="C135" s="80"/>
      <c r="D135" s="80"/>
      <c r="E135" s="148"/>
      <c r="F135" s="102">
        <f>F90</f>
        <v>672</v>
      </c>
    </row>
    <row r="136" spans="1:7" ht="19.95" customHeight="1" thickBot="1" x14ac:dyDescent="0.35">
      <c r="A136" s="78" t="s">
        <v>93</v>
      </c>
      <c r="B136" s="79" t="str">
        <f>B92</f>
        <v xml:space="preserve">TRUPAT NGROHES/FTOHES </v>
      </c>
      <c r="C136" s="80"/>
      <c r="D136" s="80"/>
      <c r="E136" s="148"/>
      <c r="F136" s="102">
        <f>F111</f>
        <v>8820</v>
      </c>
    </row>
    <row r="137" spans="1:7" ht="19.95" customHeight="1" thickBot="1" x14ac:dyDescent="0.35">
      <c r="A137" s="78" t="s">
        <v>40</v>
      </c>
      <c r="B137" s="222" t="str">
        <f>B113</f>
        <v>PUNIMET E NDRYSHËME</v>
      </c>
      <c r="C137" s="223"/>
      <c r="D137" s="223"/>
      <c r="E137" s="224"/>
      <c r="F137" s="102">
        <f>F121</f>
        <v>2318.6000000000004</v>
      </c>
    </row>
    <row r="138" spans="1:7" ht="19.95" customHeight="1" thickBot="1" x14ac:dyDescent="0.35">
      <c r="A138" s="225" t="s">
        <v>46</v>
      </c>
      <c r="B138" s="193"/>
      <c r="C138" s="193"/>
      <c r="D138" s="193"/>
      <c r="E138" s="194"/>
      <c r="F138" s="121">
        <f>SUM(F125:F137)</f>
        <v>39316.053999999996</v>
      </c>
    </row>
    <row r="139" spans="1:7" ht="71.25" customHeight="1" x14ac:dyDescent="0.3">
      <c r="A139" s="62"/>
      <c r="B139" s="62"/>
      <c r="C139" s="62"/>
      <c r="D139" s="62"/>
      <c r="E139" s="128"/>
      <c r="F139" s="128"/>
    </row>
    <row r="140" spans="1:7" ht="41.4" customHeight="1" x14ac:dyDescent="0.3">
      <c r="A140" s="29" t="s">
        <v>56</v>
      </c>
      <c r="B140" s="210" t="s">
        <v>96</v>
      </c>
      <c r="C140" s="210"/>
      <c r="D140" s="210"/>
      <c r="E140" s="210"/>
      <c r="F140" s="210"/>
      <c r="G140" s="3"/>
    </row>
    <row r="141" spans="1:7" ht="19.95" customHeight="1" thickBot="1" x14ac:dyDescent="0.35">
      <c r="A141" s="21"/>
      <c r="B141" s="21"/>
      <c r="C141" s="21"/>
      <c r="D141" s="21"/>
      <c r="E141" s="127"/>
      <c r="F141" s="127"/>
      <c r="G141" s="3"/>
    </row>
    <row r="142" spans="1:7" ht="19.95" customHeight="1" thickBot="1" x14ac:dyDescent="0.35">
      <c r="A142" s="32" t="s">
        <v>12</v>
      </c>
      <c r="B142" s="183" t="s">
        <v>0</v>
      </c>
      <c r="C142" s="184"/>
      <c r="D142" s="184"/>
      <c r="E142" s="184"/>
      <c r="F142" s="185"/>
      <c r="G142" s="3"/>
    </row>
    <row r="143" spans="1:7" ht="19.95" customHeight="1" thickBot="1" x14ac:dyDescent="0.35">
      <c r="A143" s="22" t="s">
        <v>2</v>
      </c>
      <c r="B143" s="22" t="s">
        <v>1</v>
      </c>
      <c r="C143" s="22" t="s">
        <v>3</v>
      </c>
      <c r="D143" s="22" t="s">
        <v>4</v>
      </c>
      <c r="E143" s="129" t="s">
        <v>5</v>
      </c>
      <c r="F143" s="129" t="s">
        <v>6</v>
      </c>
      <c r="G143" s="3"/>
    </row>
    <row r="144" spans="1:7" ht="126.6" customHeight="1" thickBot="1" x14ac:dyDescent="0.35">
      <c r="A144" s="23"/>
      <c r="B144" s="211" t="s">
        <v>49</v>
      </c>
      <c r="C144" s="212"/>
      <c r="D144" s="212"/>
      <c r="E144" s="212"/>
      <c r="F144" s="213"/>
      <c r="G144" s="3"/>
    </row>
    <row r="145" spans="1:7" ht="47.4" thickBot="1" x14ac:dyDescent="0.35">
      <c r="A145" s="22">
        <v>1.1000000000000001</v>
      </c>
      <c r="B145" s="24" t="s">
        <v>50</v>
      </c>
      <c r="C145" s="25" t="s">
        <v>9</v>
      </c>
      <c r="D145" s="26">
        <v>1</v>
      </c>
      <c r="E145" s="130">
        <v>350</v>
      </c>
      <c r="F145" s="163">
        <f>D145*E145</f>
        <v>350</v>
      </c>
      <c r="G145" s="3"/>
    </row>
    <row r="146" spans="1:7" ht="109.8" thickBot="1" x14ac:dyDescent="0.35">
      <c r="A146" s="22">
        <v>1.2</v>
      </c>
      <c r="B146" s="27" t="s">
        <v>52</v>
      </c>
      <c r="C146" s="25" t="s">
        <v>9</v>
      </c>
      <c r="D146" s="26">
        <v>1</v>
      </c>
      <c r="E146" s="130">
        <v>350</v>
      </c>
      <c r="F146" s="163">
        <f>D146*E146</f>
        <v>350</v>
      </c>
      <c r="G146" s="3"/>
    </row>
    <row r="147" spans="1:7" ht="20.100000000000001" customHeight="1" thickBot="1" x14ac:dyDescent="0.35">
      <c r="A147" s="227" t="s">
        <v>51</v>
      </c>
      <c r="B147" s="228"/>
      <c r="C147" s="228"/>
      <c r="D147" s="228"/>
      <c r="E147" s="229"/>
      <c r="F147" s="107">
        <f>SUM(F145:F146)</f>
        <v>700</v>
      </c>
      <c r="G147" s="3"/>
    </row>
    <row r="148" spans="1:7" ht="20.100000000000001" customHeight="1" thickBot="1" x14ac:dyDescent="0.35">
      <c r="A148" s="21"/>
      <c r="B148" s="21"/>
      <c r="C148" s="21"/>
      <c r="D148" s="21"/>
      <c r="E148" s="127"/>
      <c r="F148" s="127"/>
      <c r="G148" s="3"/>
    </row>
    <row r="149" spans="1:7" ht="20.100000000000001" customHeight="1" thickBot="1" x14ac:dyDescent="0.35">
      <c r="A149" s="35" t="s">
        <v>13</v>
      </c>
      <c r="B149" s="169" t="s">
        <v>14</v>
      </c>
      <c r="C149" s="170"/>
      <c r="D149" s="170"/>
      <c r="E149" s="170"/>
      <c r="F149" s="171"/>
      <c r="G149" s="3"/>
    </row>
    <row r="150" spans="1:7" ht="31.2" customHeight="1" thickBot="1" x14ac:dyDescent="0.35">
      <c r="A150" s="28" t="s">
        <v>2</v>
      </c>
      <c r="B150" s="22" t="s">
        <v>1</v>
      </c>
      <c r="C150" s="22" t="s">
        <v>3</v>
      </c>
      <c r="D150" s="22" t="s">
        <v>4</v>
      </c>
      <c r="E150" s="129" t="s">
        <v>5</v>
      </c>
      <c r="F150" s="129" t="s">
        <v>6</v>
      </c>
      <c r="G150" s="3"/>
    </row>
    <row r="151" spans="1:7" ht="31.2" customHeight="1" thickBot="1" x14ac:dyDescent="0.35">
      <c r="A151" s="5">
        <v>2.1</v>
      </c>
      <c r="B151" s="7" t="s">
        <v>17</v>
      </c>
      <c r="C151" s="9" t="s">
        <v>23</v>
      </c>
      <c r="D151" s="10">
        <v>969.32</v>
      </c>
      <c r="E151" s="99">
        <v>2</v>
      </c>
      <c r="F151" s="117">
        <f>D151*E151</f>
        <v>1938.64</v>
      </c>
      <c r="G151" s="3"/>
    </row>
    <row r="152" spans="1:7" ht="97.2" thickBot="1" x14ac:dyDescent="0.35">
      <c r="A152" s="5">
        <v>2.2000000000000002</v>
      </c>
      <c r="B152" s="7" t="s">
        <v>18</v>
      </c>
      <c r="C152" s="9" t="s">
        <v>23</v>
      </c>
      <c r="D152" s="10">
        <v>356.52</v>
      </c>
      <c r="E152" s="99">
        <v>2</v>
      </c>
      <c r="F152" s="117">
        <f t="shared" ref="F152:F153" si="7">D152*E152</f>
        <v>713.04</v>
      </c>
      <c r="G152" s="3"/>
    </row>
    <row r="153" spans="1:7" ht="28.2" thickBot="1" x14ac:dyDescent="0.35">
      <c r="A153" s="9">
        <v>2.2999999999999998</v>
      </c>
      <c r="B153" s="7" t="s">
        <v>19</v>
      </c>
      <c r="C153" s="9" t="s">
        <v>24</v>
      </c>
      <c r="D153" s="10">
        <v>1</v>
      </c>
      <c r="E153" s="99">
        <v>100</v>
      </c>
      <c r="F153" s="117">
        <f t="shared" si="7"/>
        <v>100</v>
      </c>
      <c r="G153" s="3"/>
    </row>
    <row r="154" spans="1:7" ht="16.2" thickBot="1" x14ac:dyDescent="0.35">
      <c r="A154" s="230" t="s">
        <v>53</v>
      </c>
      <c r="B154" s="228"/>
      <c r="C154" s="228"/>
      <c r="D154" s="228"/>
      <c r="E154" s="229"/>
      <c r="F154" s="121">
        <f>SUM(F151:F153)</f>
        <v>2751.6800000000003</v>
      </c>
      <c r="G154" s="14"/>
    </row>
    <row r="155" spans="1:7" ht="20.100000000000001" customHeight="1" thickBot="1" x14ac:dyDescent="0.35">
      <c r="A155" s="231"/>
      <c r="B155" s="232"/>
      <c r="C155" s="232"/>
      <c r="D155" s="232"/>
      <c r="E155" s="232"/>
      <c r="F155" s="233"/>
      <c r="G155" s="14"/>
    </row>
    <row r="156" spans="1:7" ht="20.100000000000001" customHeight="1" thickBot="1" x14ac:dyDescent="0.35">
      <c r="A156" s="32" t="s">
        <v>36</v>
      </c>
      <c r="B156" s="183" t="s">
        <v>27</v>
      </c>
      <c r="C156" s="184"/>
      <c r="D156" s="184"/>
      <c r="E156" s="184"/>
      <c r="F156" s="185"/>
      <c r="G156" s="3"/>
    </row>
    <row r="157" spans="1:7" ht="20.100000000000001" customHeight="1" thickBot="1" x14ac:dyDescent="0.35">
      <c r="A157" s="9" t="s">
        <v>2</v>
      </c>
      <c r="B157" s="9" t="s">
        <v>1</v>
      </c>
      <c r="C157" s="9" t="s">
        <v>3</v>
      </c>
      <c r="D157" s="9" t="s">
        <v>4</v>
      </c>
      <c r="E157" s="99" t="s">
        <v>5</v>
      </c>
      <c r="F157" s="99" t="s">
        <v>6</v>
      </c>
      <c r="G157" s="3"/>
    </row>
    <row r="158" spans="1:7" ht="39.6" customHeight="1" thickBot="1" x14ac:dyDescent="0.35">
      <c r="A158" s="208"/>
      <c r="B158" s="177" t="s">
        <v>58</v>
      </c>
      <c r="C158" s="178"/>
      <c r="D158" s="178"/>
      <c r="E158" s="178"/>
      <c r="F158" s="179"/>
      <c r="G158" s="3"/>
    </row>
    <row r="159" spans="1:7" ht="47.4" customHeight="1" thickBot="1" x14ac:dyDescent="0.35">
      <c r="A159" s="209"/>
      <c r="B159" s="177" t="s">
        <v>22</v>
      </c>
      <c r="C159" s="178"/>
      <c r="D159" s="178"/>
      <c r="E159" s="178"/>
      <c r="F159" s="179"/>
      <c r="G159" s="3"/>
    </row>
    <row r="160" spans="1:7" ht="39.6" customHeight="1" thickBot="1" x14ac:dyDescent="0.35">
      <c r="A160" s="9">
        <v>3.1</v>
      </c>
      <c r="B160" s="7" t="s">
        <v>132</v>
      </c>
      <c r="C160" s="5" t="s">
        <v>23</v>
      </c>
      <c r="D160" s="6">
        <v>71.5</v>
      </c>
      <c r="E160" s="110">
        <v>20</v>
      </c>
      <c r="F160" s="160">
        <f>D160*E160</f>
        <v>1430</v>
      </c>
      <c r="G160" s="3"/>
    </row>
    <row r="161" spans="1:7" ht="19.95" customHeight="1" thickBot="1" x14ac:dyDescent="0.35">
      <c r="A161" s="8"/>
      <c r="B161" s="193" t="s">
        <v>45</v>
      </c>
      <c r="C161" s="193"/>
      <c r="D161" s="193"/>
      <c r="E161" s="194"/>
      <c r="F161" s="121">
        <f>F160</f>
        <v>1430</v>
      </c>
      <c r="G161" s="3"/>
    </row>
    <row r="162" spans="1:7" ht="16.2" thickBot="1" x14ac:dyDescent="0.35">
      <c r="A162" s="189"/>
      <c r="B162" s="189"/>
      <c r="C162" s="189"/>
      <c r="D162" s="189"/>
      <c r="E162" s="189"/>
      <c r="F162" s="226"/>
      <c r="G162" s="3"/>
    </row>
    <row r="163" spans="1:7" ht="16.2" thickBot="1" x14ac:dyDescent="0.35">
      <c r="A163" s="32" t="s">
        <v>37</v>
      </c>
      <c r="B163" s="183" t="s">
        <v>28</v>
      </c>
      <c r="C163" s="184"/>
      <c r="D163" s="184"/>
      <c r="E163" s="184"/>
      <c r="F163" s="185"/>
      <c r="G163" s="3"/>
    </row>
    <row r="164" spans="1:7" ht="16.2" thickBot="1" x14ac:dyDescent="0.35">
      <c r="A164" s="9" t="s">
        <v>2</v>
      </c>
      <c r="B164" s="9" t="s">
        <v>1</v>
      </c>
      <c r="C164" s="9" t="s">
        <v>3</v>
      </c>
      <c r="D164" s="9" t="s">
        <v>4</v>
      </c>
      <c r="E164" s="99" t="s">
        <v>5</v>
      </c>
      <c r="F164" s="99" t="s">
        <v>6</v>
      </c>
      <c r="G164" s="3"/>
    </row>
    <row r="165" spans="1:7" ht="33" customHeight="1" thickBot="1" x14ac:dyDescent="0.35">
      <c r="A165" s="9">
        <v>4.0999999999999996</v>
      </c>
      <c r="B165" s="7" t="s">
        <v>65</v>
      </c>
      <c r="C165" s="9" t="s">
        <v>24</v>
      </c>
      <c r="D165" s="10">
        <v>1</v>
      </c>
      <c r="E165" s="99">
        <v>250</v>
      </c>
      <c r="F165" s="117">
        <f>D165*E165</f>
        <v>250</v>
      </c>
      <c r="G165" s="3"/>
    </row>
    <row r="166" spans="1:7" ht="55.8" thickBot="1" x14ac:dyDescent="0.35">
      <c r="A166" s="9">
        <v>4.2</v>
      </c>
      <c r="B166" s="7" t="s">
        <v>20</v>
      </c>
      <c r="C166" s="9" t="s">
        <v>24</v>
      </c>
      <c r="D166" s="10">
        <v>1</v>
      </c>
      <c r="E166" s="99">
        <v>150</v>
      </c>
      <c r="F166" s="117">
        <f>D166*E166</f>
        <v>150</v>
      </c>
      <c r="G166" s="3"/>
    </row>
    <row r="167" spans="1:7" ht="16.2" thickBot="1" x14ac:dyDescent="0.35">
      <c r="A167" s="8"/>
      <c r="B167" s="239" t="s">
        <v>31</v>
      </c>
      <c r="C167" s="239"/>
      <c r="D167" s="239"/>
      <c r="E167" s="240"/>
      <c r="F167" s="164">
        <f>F166+F165</f>
        <v>400</v>
      </c>
      <c r="G167" s="3"/>
    </row>
    <row r="168" spans="1:7" ht="49.2" customHeight="1" thickBot="1" x14ac:dyDescent="0.35">
      <c r="A168" s="189"/>
      <c r="B168" s="189"/>
      <c r="C168" s="189"/>
      <c r="D168" s="189"/>
      <c r="E168" s="189"/>
      <c r="F168" s="226"/>
      <c r="G168" s="3"/>
    </row>
    <row r="169" spans="1:7" ht="16.2" thickBot="1" x14ac:dyDescent="0.35">
      <c r="A169" s="32" t="s">
        <v>38</v>
      </c>
      <c r="B169" s="183" t="s">
        <v>109</v>
      </c>
      <c r="C169" s="184"/>
      <c r="D169" s="184"/>
      <c r="E169" s="184"/>
      <c r="F169" s="185"/>
      <c r="G169" s="3"/>
    </row>
    <row r="170" spans="1:7" ht="16.2" thickBot="1" x14ac:dyDescent="0.35">
      <c r="A170" s="9" t="s">
        <v>2</v>
      </c>
      <c r="B170" s="9" t="s">
        <v>1</v>
      </c>
      <c r="C170" s="9" t="s">
        <v>3</v>
      </c>
      <c r="D170" s="9" t="s">
        <v>4</v>
      </c>
      <c r="E170" s="99" t="s">
        <v>5</v>
      </c>
      <c r="F170" s="99" t="s">
        <v>6</v>
      </c>
      <c r="G170" s="3"/>
    </row>
    <row r="171" spans="1:7" ht="15.6" x14ac:dyDescent="0.3">
      <c r="A171" s="192" t="s">
        <v>107</v>
      </c>
      <c r="B171" s="192"/>
      <c r="C171" s="192"/>
      <c r="D171" s="192"/>
      <c r="E171" s="192"/>
      <c r="F171" s="192"/>
      <c r="G171" s="3"/>
    </row>
    <row r="172" spans="1:7" ht="15.6" x14ac:dyDescent="0.3">
      <c r="A172" s="192"/>
      <c r="B172" s="192"/>
      <c r="C172" s="192"/>
      <c r="D172" s="192"/>
      <c r="E172" s="192"/>
      <c r="F172" s="192"/>
      <c r="G172" s="3"/>
    </row>
    <row r="173" spans="1:7" ht="15.6" x14ac:dyDescent="0.3">
      <c r="A173" s="192"/>
      <c r="B173" s="192"/>
      <c r="C173" s="192"/>
      <c r="D173" s="192"/>
      <c r="E173" s="192"/>
      <c r="F173" s="192"/>
      <c r="G173" s="3"/>
    </row>
    <row r="174" spans="1:7" ht="31.8" customHeight="1" thickBot="1" x14ac:dyDescent="0.35">
      <c r="A174" s="195" t="s">
        <v>108</v>
      </c>
      <c r="B174" s="196"/>
      <c r="C174" s="196"/>
      <c r="D174" s="196"/>
      <c r="E174" s="196"/>
      <c r="F174" s="197"/>
      <c r="G174" s="3"/>
    </row>
    <row r="175" spans="1:7" ht="42" thickBot="1" x14ac:dyDescent="0.35">
      <c r="A175" s="69">
        <v>5.0999999999999996</v>
      </c>
      <c r="B175" s="68" t="s">
        <v>110</v>
      </c>
      <c r="C175" s="64" t="s">
        <v>64</v>
      </c>
      <c r="D175" s="64">
        <v>1</v>
      </c>
      <c r="E175" s="145">
        <v>500</v>
      </c>
      <c r="F175" s="161">
        <f>E175*D175</f>
        <v>500</v>
      </c>
      <c r="G175" s="3"/>
    </row>
    <row r="176" spans="1:7" ht="15.6" x14ac:dyDescent="0.3">
      <c r="A176" s="198">
        <v>5.2</v>
      </c>
      <c r="B176" s="63" t="s">
        <v>111</v>
      </c>
      <c r="C176" s="60"/>
      <c r="D176" s="60"/>
      <c r="E176" s="145"/>
      <c r="F176" s="161"/>
      <c r="G176" s="3"/>
    </row>
    <row r="177" spans="1:7" ht="15.6" x14ac:dyDescent="0.3">
      <c r="A177" s="199"/>
      <c r="B177" s="63" t="s">
        <v>112</v>
      </c>
      <c r="C177" s="60" t="s">
        <v>113</v>
      </c>
      <c r="D177" s="60">
        <v>3</v>
      </c>
      <c r="E177" s="145">
        <v>10</v>
      </c>
      <c r="F177" s="161">
        <f>E177*D177</f>
        <v>30</v>
      </c>
      <c r="G177" s="3"/>
    </row>
    <row r="178" spans="1:7" ht="15.6" x14ac:dyDescent="0.3">
      <c r="A178" s="199"/>
      <c r="B178" s="63" t="s">
        <v>114</v>
      </c>
      <c r="C178" s="60" t="s">
        <v>113</v>
      </c>
      <c r="D178" s="60">
        <v>3</v>
      </c>
      <c r="E178" s="145">
        <v>10</v>
      </c>
      <c r="F178" s="161">
        <f>E178*D178</f>
        <v>30</v>
      </c>
      <c r="G178" s="3"/>
    </row>
    <row r="179" spans="1:7" ht="27.6" x14ac:dyDescent="0.3">
      <c r="A179" s="60">
        <v>5.3</v>
      </c>
      <c r="B179" s="63" t="s">
        <v>115</v>
      </c>
      <c r="C179" s="60" t="s">
        <v>116</v>
      </c>
      <c r="D179" s="60">
        <v>0.7</v>
      </c>
      <c r="E179" s="145">
        <f>F177+F178</f>
        <v>60</v>
      </c>
      <c r="F179" s="161">
        <f t="shared" ref="F179:F185" si="8">E179*D179</f>
        <v>42</v>
      </c>
      <c r="G179" s="3"/>
    </row>
    <row r="180" spans="1:7" ht="15.6" x14ac:dyDescent="0.3">
      <c r="A180" s="65">
        <v>5.4</v>
      </c>
      <c r="B180" s="66" t="s">
        <v>117</v>
      </c>
      <c r="C180" s="64" t="s">
        <v>113</v>
      </c>
      <c r="D180" s="64">
        <v>5</v>
      </c>
      <c r="E180" s="145">
        <v>5</v>
      </c>
      <c r="F180" s="161">
        <f t="shared" si="8"/>
        <v>25</v>
      </c>
      <c r="G180" s="3"/>
    </row>
    <row r="181" spans="1:7" ht="27.6" x14ac:dyDescent="0.3">
      <c r="A181" s="60">
        <v>5.5</v>
      </c>
      <c r="B181" s="63" t="s">
        <v>118</v>
      </c>
      <c r="C181" s="60" t="s">
        <v>116</v>
      </c>
      <c r="D181" s="60">
        <v>0.4</v>
      </c>
      <c r="E181" s="145">
        <f>F180</f>
        <v>25</v>
      </c>
      <c r="F181" s="161">
        <f t="shared" si="8"/>
        <v>10</v>
      </c>
      <c r="G181" s="3"/>
    </row>
    <row r="182" spans="1:7" ht="15.6" x14ac:dyDescent="0.3">
      <c r="A182" s="60">
        <v>5.6</v>
      </c>
      <c r="B182" s="63" t="s">
        <v>119</v>
      </c>
      <c r="C182" s="64" t="s">
        <v>113</v>
      </c>
      <c r="D182" s="64">
        <v>4</v>
      </c>
      <c r="E182" s="145">
        <v>1</v>
      </c>
      <c r="F182" s="161">
        <f t="shared" si="8"/>
        <v>4</v>
      </c>
      <c r="G182" s="3"/>
    </row>
    <row r="183" spans="1:7" ht="15.6" x14ac:dyDescent="0.3">
      <c r="A183" s="60">
        <v>5.7</v>
      </c>
      <c r="B183" s="63" t="s">
        <v>120</v>
      </c>
      <c r="C183" s="64" t="s">
        <v>113</v>
      </c>
      <c r="D183" s="64">
        <v>4</v>
      </c>
      <c r="E183" s="145">
        <v>1</v>
      </c>
      <c r="F183" s="161">
        <f>E183*D183</f>
        <v>4</v>
      </c>
      <c r="G183" s="3"/>
    </row>
    <row r="184" spans="1:7" ht="15.6" x14ac:dyDescent="0.3">
      <c r="A184" s="60">
        <v>5.8</v>
      </c>
      <c r="B184" s="63" t="s">
        <v>121</v>
      </c>
      <c r="C184" s="64" t="s">
        <v>64</v>
      </c>
      <c r="D184" s="64">
        <v>1</v>
      </c>
      <c r="E184" s="145">
        <v>40</v>
      </c>
      <c r="F184" s="161">
        <f t="shared" si="8"/>
        <v>40</v>
      </c>
      <c r="G184" s="3"/>
    </row>
    <row r="185" spans="1:7" ht="15.6" x14ac:dyDescent="0.3">
      <c r="A185" s="60">
        <v>5.9</v>
      </c>
      <c r="B185" s="63" t="s">
        <v>122</v>
      </c>
      <c r="C185" s="64" t="s">
        <v>24</v>
      </c>
      <c r="D185" s="64">
        <v>1</v>
      </c>
      <c r="E185" s="145">
        <v>50</v>
      </c>
      <c r="F185" s="161">
        <f t="shared" si="8"/>
        <v>50</v>
      </c>
      <c r="G185" s="3"/>
    </row>
    <row r="186" spans="1:7" ht="16.2" thickBot="1" x14ac:dyDescent="0.35">
      <c r="A186" s="201" t="s">
        <v>176</v>
      </c>
      <c r="B186" s="202"/>
      <c r="C186" s="202"/>
      <c r="D186" s="202"/>
      <c r="E186" s="203"/>
      <c r="F186" s="162">
        <f>SUM(F175:F185)</f>
        <v>735</v>
      </c>
      <c r="G186" s="3"/>
    </row>
    <row r="187" spans="1:7" ht="16.2" thickBot="1" x14ac:dyDescent="0.35">
      <c r="A187" s="67"/>
      <c r="B187" s="72" t="s">
        <v>131</v>
      </c>
      <c r="C187" s="72" t="s">
        <v>64</v>
      </c>
      <c r="D187" s="73">
        <v>12</v>
      </c>
      <c r="E187" s="149">
        <f>F186</f>
        <v>735</v>
      </c>
      <c r="F187" s="131">
        <f>D187*E187</f>
        <v>8820</v>
      </c>
      <c r="G187" s="3"/>
    </row>
    <row r="188" spans="1:7" ht="16.2" thickBot="1" x14ac:dyDescent="0.35">
      <c r="A188" s="59"/>
      <c r="B188" s="234" t="s">
        <v>130</v>
      </c>
      <c r="C188" s="235"/>
      <c r="D188" s="235"/>
      <c r="E188" s="236"/>
      <c r="F188" s="132">
        <f>F187</f>
        <v>8820</v>
      </c>
      <c r="G188" s="3"/>
    </row>
    <row r="189" spans="1:7" ht="78.599999999999994" customHeight="1" thickBot="1" x14ac:dyDescent="0.35">
      <c r="A189" s="237"/>
      <c r="B189" s="237"/>
      <c r="C189" s="237"/>
      <c r="D189" s="237"/>
      <c r="E189" s="237"/>
      <c r="F189" s="238"/>
      <c r="G189" s="3"/>
    </row>
    <row r="190" spans="1:7" ht="16.2" thickBot="1" x14ac:dyDescent="0.35">
      <c r="A190" s="31" t="s">
        <v>39</v>
      </c>
      <c r="B190" s="183" t="s">
        <v>30</v>
      </c>
      <c r="C190" s="184"/>
      <c r="D190" s="184"/>
      <c r="E190" s="184"/>
      <c r="F190" s="185"/>
      <c r="G190" s="3"/>
    </row>
    <row r="191" spans="1:7" ht="16.2" thickBot="1" x14ac:dyDescent="0.35">
      <c r="A191" s="9" t="s">
        <v>2</v>
      </c>
      <c r="B191" s="9" t="s">
        <v>1</v>
      </c>
      <c r="C191" s="9" t="s">
        <v>3</v>
      </c>
      <c r="D191" s="9" t="s">
        <v>4</v>
      </c>
      <c r="E191" s="99" t="s">
        <v>5</v>
      </c>
      <c r="F191" s="99" t="s">
        <v>6</v>
      </c>
      <c r="G191" s="3"/>
    </row>
    <row r="192" spans="1:7" ht="83.4" thickBot="1" x14ac:dyDescent="0.35">
      <c r="A192" s="55">
        <v>6.1</v>
      </c>
      <c r="B192" s="56" t="s">
        <v>73</v>
      </c>
      <c r="C192" s="55" t="s">
        <v>23</v>
      </c>
      <c r="D192" s="55">
        <v>56.21</v>
      </c>
      <c r="E192" s="98">
        <v>1</v>
      </c>
      <c r="F192" s="158">
        <f>D192*E192</f>
        <v>56.21</v>
      </c>
      <c r="G192" s="3"/>
    </row>
    <row r="193" spans="1:7" ht="83.4" thickBot="1" x14ac:dyDescent="0.35">
      <c r="A193" s="55">
        <v>6.2</v>
      </c>
      <c r="B193" s="56" t="s">
        <v>57</v>
      </c>
      <c r="C193" s="55" t="s">
        <v>23</v>
      </c>
      <c r="D193" s="70">
        <v>20.399999999999999</v>
      </c>
      <c r="E193" s="98">
        <v>18</v>
      </c>
      <c r="F193" s="158">
        <f>D193*E193</f>
        <v>367.2</v>
      </c>
      <c r="G193" s="3"/>
    </row>
    <row r="194" spans="1:7" ht="69.599999999999994" thickBot="1" x14ac:dyDescent="0.35">
      <c r="A194" s="42">
        <v>6.3</v>
      </c>
      <c r="B194" s="7" t="s">
        <v>127</v>
      </c>
      <c r="C194" s="5" t="s">
        <v>23</v>
      </c>
      <c r="D194" s="6">
        <v>35.81</v>
      </c>
      <c r="E194" s="110">
        <v>22</v>
      </c>
      <c r="F194" s="117">
        <f>D194*E194</f>
        <v>787.82</v>
      </c>
      <c r="G194" s="3"/>
    </row>
    <row r="195" spans="1:7" ht="16.2" thickBot="1" x14ac:dyDescent="0.35">
      <c r="A195" s="8"/>
      <c r="B195" s="173" t="s">
        <v>25</v>
      </c>
      <c r="C195" s="165"/>
      <c r="D195" s="165"/>
      <c r="E195" s="188"/>
      <c r="F195" s="133">
        <f>SUM(F192:F194)</f>
        <v>1211.23</v>
      </c>
      <c r="G195" s="3"/>
    </row>
    <row r="196" spans="1:7" ht="16.2" thickBot="1" x14ac:dyDescent="0.35">
      <c r="A196" s="249"/>
      <c r="B196" s="249"/>
      <c r="C196" s="249"/>
      <c r="D196" s="249"/>
      <c r="E196" s="249"/>
      <c r="F196" s="250"/>
      <c r="G196" s="3"/>
    </row>
    <row r="197" spans="1:7" ht="16.2" thickBot="1" x14ac:dyDescent="0.35">
      <c r="A197" s="32" t="s">
        <v>40</v>
      </c>
      <c r="B197" s="183" t="s">
        <v>44</v>
      </c>
      <c r="C197" s="184"/>
      <c r="D197" s="184"/>
      <c r="E197" s="184"/>
      <c r="F197" s="185"/>
      <c r="G197" s="3"/>
    </row>
    <row r="198" spans="1:7" ht="16.2" thickBot="1" x14ac:dyDescent="0.35">
      <c r="A198" s="9" t="s">
        <v>2</v>
      </c>
      <c r="B198" s="9" t="s">
        <v>1</v>
      </c>
      <c r="C198" s="9" t="s">
        <v>3</v>
      </c>
      <c r="D198" s="9" t="s">
        <v>4</v>
      </c>
      <c r="E198" s="99" t="s">
        <v>5</v>
      </c>
      <c r="F198" s="99" t="s">
        <v>6</v>
      </c>
      <c r="G198" s="3"/>
    </row>
    <row r="199" spans="1:7" ht="42" thickBot="1" x14ac:dyDescent="0.35">
      <c r="A199" s="9">
        <v>7.1</v>
      </c>
      <c r="B199" s="7" t="s">
        <v>59</v>
      </c>
      <c r="C199" s="9" t="s">
        <v>24</v>
      </c>
      <c r="D199" s="10">
        <v>1</v>
      </c>
      <c r="E199" s="99">
        <v>100</v>
      </c>
      <c r="F199" s="117">
        <f>D199*E199</f>
        <v>100</v>
      </c>
      <c r="G199" s="3"/>
    </row>
    <row r="200" spans="1:7" ht="55.8" thickBot="1" x14ac:dyDescent="0.35">
      <c r="A200" s="9">
        <v>7.2</v>
      </c>
      <c r="B200" s="7" t="s">
        <v>128</v>
      </c>
      <c r="C200" s="9" t="s">
        <v>129</v>
      </c>
      <c r="D200" s="10">
        <v>10</v>
      </c>
      <c r="E200" s="99">
        <v>25</v>
      </c>
      <c r="F200" s="117">
        <f>D200*E200</f>
        <v>250</v>
      </c>
      <c r="G200" s="3"/>
    </row>
    <row r="201" spans="1:7" ht="28.2" thickBot="1" x14ac:dyDescent="0.35">
      <c r="A201" s="9">
        <v>7.3</v>
      </c>
      <c r="B201" s="40" t="s">
        <v>16</v>
      </c>
      <c r="C201" s="9" t="s">
        <v>24</v>
      </c>
      <c r="D201" s="10">
        <v>1</v>
      </c>
      <c r="E201" s="99">
        <v>100</v>
      </c>
      <c r="F201" s="117">
        <f>D201*E201</f>
        <v>100</v>
      </c>
      <c r="G201" s="3"/>
    </row>
    <row r="202" spans="1:7" ht="16.2" thickBot="1" x14ac:dyDescent="0.35">
      <c r="A202" s="13"/>
      <c r="B202" s="206" t="s">
        <v>32</v>
      </c>
      <c r="C202" s="206"/>
      <c r="D202" s="206"/>
      <c r="E202" s="207"/>
      <c r="F202" s="124">
        <f>SUM(F199:F201)</f>
        <v>450</v>
      </c>
      <c r="G202" s="3"/>
    </row>
    <row r="203" spans="1:7" ht="89.4" customHeight="1" x14ac:dyDescent="0.3">
      <c r="A203" s="8"/>
      <c r="B203" s="16"/>
      <c r="C203" s="16"/>
      <c r="D203" s="16"/>
      <c r="E203" s="119"/>
      <c r="F203" s="134"/>
      <c r="G203" s="3"/>
    </row>
    <row r="204" spans="1:7" ht="15.6" x14ac:dyDescent="0.3">
      <c r="A204" s="76" t="s">
        <v>82</v>
      </c>
      <c r="B204" s="241" t="s">
        <v>139</v>
      </c>
      <c r="C204" s="241"/>
      <c r="D204" s="241"/>
      <c r="E204" s="241"/>
      <c r="F204" s="241"/>
      <c r="G204" s="3"/>
    </row>
    <row r="205" spans="1:7" ht="16.2" thickBot="1" x14ac:dyDescent="0.35">
      <c r="A205" s="84">
        <v>1</v>
      </c>
      <c r="B205" s="241" t="s">
        <v>140</v>
      </c>
      <c r="C205" s="241"/>
      <c r="D205" s="241"/>
      <c r="E205" s="241"/>
      <c r="F205" s="241"/>
      <c r="G205" s="3"/>
    </row>
    <row r="206" spans="1:7" ht="15.6" x14ac:dyDescent="0.3">
      <c r="A206" s="19" t="s">
        <v>2</v>
      </c>
      <c r="B206" s="47" t="s">
        <v>1</v>
      </c>
      <c r="C206" s="47" t="s">
        <v>3</v>
      </c>
      <c r="D206" s="47" t="s">
        <v>4</v>
      </c>
      <c r="E206" s="135" t="s">
        <v>5</v>
      </c>
      <c r="F206" s="135" t="s">
        <v>6</v>
      </c>
      <c r="G206" s="3"/>
    </row>
    <row r="207" spans="1:7" ht="82.8" x14ac:dyDescent="0.3">
      <c r="A207" s="38" t="s">
        <v>143</v>
      </c>
      <c r="B207" s="36" t="s">
        <v>102</v>
      </c>
      <c r="C207" s="77" t="s">
        <v>129</v>
      </c>
      <c r="D207" s="39">
        <v>15</v>
      </c>
      <c r="E207" s="136">
        <v>25</v>
      </c>
      <c r="F207" s="274">
        <f>D207*E207</f>
        <v>375</v>
      </c>
      <c r="G207" s="3"/>
    </row>
    <row r="208" spans="1:7" ht="69.599999999999994" thickBot="1" x14ac:dyDescent="0.35">
      <c r="A208" s="48" t="s">
        <v>144</v>
      </c>
      <c r="B208" s="52" t="s">
        <v>135</v>
      </c>
      <c r="C208" s="53" t="s">
        <v>23</v>
      </c>
      <c r="D208" s="54">
        <v>203.2</v>
      </c>
      <c r="E208" s="143">
        <v>1</v>
      </c>
      <c r="F208" s="274">
        <f t="shared" ref="F208:F214" si="9">D208*E208</f>
        <v>203.2</v>
      </c>
      <c r="G208" s="3"/>
    </row>
    <row r="209" spans="1:7" ht="55.8" thickBot="1" x14ac:dyDescent="0.35">
      <c r="A209" s="9" t="s">
        <v>145</v>
      </c>
      <c r="B209" s="7" t="s">
        <v>134</v>
      </c>
      <c r="C209" s="9" t="s">
        <v>23</v>
      </c>
      <c r="D209" s="10">
        <v>60.1</v>
      </c>
      <c r="E209" s="99">
        <v>1</v>
      </c>
      <c r="F209" s="274">
        <f t="shared" si="9"/>
        <v>60.1</v>
      </c>
      <c r="G209" s="3"/>
    </row>
    <row r="210" spans="1:7" ht="42" thickBot="1" x14ac:dyDescent="0.35">
      <c r="A210" s="9" t="s">
        <v>146</v>
      </c>
      <c r="B210" s="7" t="s">
        <v>70</v>
      </c>
      <c r="C210" s="9" t="s">
        <v>23</v>
      </c>
      <c r="D210" s="10">
        <v>245.2</v>
      </c>
      <c r="E210" s="99">
        <v>1</v>
      </c>
      <c r="F210" s="274">
        <f t="shared" si="9"/>
        <v>245.2</v>
      </c>
      <c r="G210" s="3"/>
    </row>
    <row r="211" spans="1:7" ht="28.2" thickBot="1" x14ac:dyDescent="0.35">
      <c r="A211" s="9" t="s">
        <v>147</v>
      </c>
      <c r="B211" s="7" t="s">
        <v>71</v>
      </c>
      <c r="C211" s="9" t="s">
        <v>64</v>
      </c>
      <c r="D211" s="10">
        <v>10</v>
      </c>
      <c r="E211" s="99">
        <v>1</v>
      </c>
      <c r="F211" s="274">
        <f t="shared" si="9"/>
        <v>10</v>
      </c>
      <c r="G211" s="3"/>
    </row>
    <row r="212" spans="1:7" ht="78" x14ac:dyDescent="0.3">
      <c r="A212" s="38" t="s">
        <v>148</v>
      </c>
      <c r="B212" s="82" t="s">
        <v>137</v>
      </c>
      <c r="C212" s="41" t="s">
        <v>24</v>
      </c>
      <c r="D212" s="81">
        <v>1</v>
      </c>
      <c r="E212" s="136">
        <v>460.24</v>
      </c>
      <c r="F212" s="274">
        <f t="shared" si="9"/>
        <v>460.24</v>
      </c>
      <c r="G212" s="3"/>
    </row>
    <row r="213" spans="1:7" ht="62.4" x14ac:dyDescent="0.3">
      <c r="A213" s="38" t="s">
        <v>149</v>
      </c>
      <c r="B213" s="82" t="s">
        <v>138</v>
      </c>
      <c r="C213" s="41" t="s">
        <v>24</v>
      </c>
      <c r="D213" s="81">
        <v>1</v>
      </c>
      <c r="E213" s="136">
        <v>500</v>
      </c>
      <c r="F213" s="274">
        <f t="shared" si="9"/>
        <v>500</v>
      </c>
      <c r="G213" s="3"/>
    </row>
    <row r="214" spans="1:7" ht="46.8" x14ac:dyDescent="0.3">
      <c r="A214" s="38" t="s">
        <v>150</v>
      </c>
      <c r="B214" s="82" t="s">
        <v>136</v>
      </c>
      <c r="C214" s="83" t="s">
        <v>24</v>
      </c>
      <c r="D214" s="81">
        <v>1</v>
      </c>
      <c r="E214" s="136">
        <v>25</v>
      </c>
      <c r="F214" s="274">
        <f t="shared" si="9"/>
        <v>25</v>
      </c>
      <c r="G214" s="3"/>
    </row>
    <row r="215" spans="1:7" ht="15.6" x14ac:dyDescent="0.3">
      <c r="A215" s="242" t="s">
        <v>141</v>
      </c>
      <c r="B215" s="243"/>
      <c r="C215" s="243"/>
      <c r="D215" s="243"/>
      <c r="E215" s="244"/>
      <c r="F215" s="138">
        <f>SUM(F207:F214)</f>
        <v>1878.74</v>
      </c>
      <c r="G215" s="3"/>
    </row>
    <row r="216" spans="1:7" ht="35.4" customHeight="1" x14ac:dyDescent="0.3">
      <c r="A216" s="245"/>
      <c r="B216" s="246"/>
      <c r="C216" s="246"/>
      <c r="D216" s="246"/>
      <c r="E216" s="246"/>
      <c r="F216" s="247"/>
      <c r="G216" s="3"/>
    </row>
    <row r="217" spans="1:7" ht="16.2" thickBot="1" x14ac:dyDescent="0.35">
      <c r="A217" s="97">
        <v>2</v>
      </c>
      <c r="B217" s="248" t="s">
        <v>142</v>
      </c>
      <c r="C217" s="248"/>
      <c r="D217" s="248"/>
      <c r="E217" s="248"/>
      <c r="F217" s="248"/>
      <c r="G217" s="3"/>
    </row>
    <row r="218" spans="1:7" ht="16.2" thickBot="1" x14ac:dyDescent="0.35">
      <c r="A218" s="19" t="s">
        <v>2</v>
      </c>
      <c r="B218" s="47" t="s">
        <v>1</v>
      </c>
      <c r="C218" s="47" t="s">
        <v>3</v>
      </c>
      <c r="D218" s="47" t="s">
        <v>4</v>
      </c>
      <c r="E218" s="135" t="s">
        <v>5</v>
      </c>
      <c r="F218" s="135" t="s">
        <v>6</v>
      </c>
      <c r="G218" s="3"/>
    </row>
    <row r="219" spans="1:7" ht="111.6" thickBot="1" x14ac:dyDescent="0.35">
      <c r="A219" s="9" t="s">
        <v>152</v>
      </c>
      <c r="B219" s="7" t="s">
        <v>151</v>
      </c>
      <c r="C219" s="9" t="s">
        <v>24</v>
      </c>
      <c r="D219" s="10">
        <v>5</v>
      </c>
      <c r="E219" s="99">
        <v>200</v>
      </c>
      <c r="F219" s="117">
        <f>D219*E219</f>
        <v>1000</v>
      </c>
      <c r="G219" s="3"/>
    </row>
    <row r="220" spans="1:7" ht="16.2" thickBot="1" x14ac:dyDescent="0.35">
      <c r="A220" s="8"/>
      <c r="B220" s="173" t="s">
        <v>88</v>
      </c>
      <c r="C220" s="173"/>
      <c r="D220" s="173"/>
      <c r="E220" s="188"/>
      <c r="F220" s="121">
        <f>F219</f>
        <v>1000</v>
      </c>
      <c r="G220" s="3"/>
    </row>
    <row r="221" spans="1:7" ht="34.799999999999997" customHeight="1" thickBot="1" x14ac:dyDescent="0.35">
      <c r="A221" s="95"/>
      <c r="B221" s="96"/>
      <c r="C221" s="96"/>
      <c r="D221" s="96"/>
      <c r="E221" s="150"/>
      <c r="F221" s="139"/>
      <c r="G221" s="3"/>
    </row>
    <row r="222" spans="1:7" ht="16.2" thickBot="1" x14ac:dyDescent="0.35">
      <c r="A222" s="32">
        <v>3</v>
      </c>
      <c r="B222" s="183" t="s">
        <v>85</v>
      </c>
      <c r="C222" s="184"/>
      <c r="D222" s="184"/>
      <c r="E222" s="184"/>
      <c r="F222" s="185"/>
      <c r="G222" s="3"/>
    </row>
    <row r="223" spans="1:7" ht="16.2" thickBot="1" x14ac:dyDescent="0.35">
      <c r="A223" s="2" t="s">
        <v>2</v>
      </c>
      <c r="B223" s="2" t="s">
        <v>1</v>
      </c>
      <c r="C223" s="2" t="s">
        <v>3</v>
      </c>
      <c r="D223" s="2" t="s">
        <v>4</v>
      </c>
      <c r="E223" s="122" t="s">
        <v>5</v>
      </c>
      <c r="F223" s="122" t="s">
        <v>6</v>
      </c>
      <c r="G223" s="3"/>
    </row>
    <row r="224" spans="1:7" ht="84.6" thickBot="1" x14ac:dyDescent="0.35">
      <c r="A224" s="9" t="s">
        <v>153</v>
      </c>
      <c r="B224" s="7" t="s">
        <v>97</v>
      </c>
      <c r="C224" s="9" t="s">
        <v>24</v>
      </c>
      <c r="D224" s="10">
        <v>5</v>
      </c>
      <c r="E224" s="99">
        <v>200</v>
      </c>
      <c r="F224" s="117">
        <f>D224*E224</f>
        <v>1000</v>
      </c>
      <c r="G224" s="3"/>
    </row>
    <row r="225" spans="1:7" ht="16.2" thickBot="1" x14ac:dyDescent="0.35">
      <c r="A225" s="12"/>
      <c r="B225" s="173" t="s">
        <v>86</v>
      </c>
      <c r="C225" s="173"/>
      <c r="D225" s="173"/>
      <c r="E225" s="188"/>
      <c r="F225" s="107">
        <f>F224</f>
        <v>1000</v>
      </c>
      <c r="G225" s="3"/>
    </row>
    <row r="226" spans="1:7" ht="16.2" thickBot="1" x14ac:dyDescent="0.35">
      <c r="A226" s="95"/>
      <c r="B226" s="96"/>
      <c r="C226" s="96"/>
      <c r="D226" s="96"/>
      <c r="E226" s="150"/>
      <c r="F226" s="139"/>
      <c r="G226" s="3"/>
    </row>
    <row r="227" spans="1:7" ht="16.2" thickBot="1" x14ac:dyDescent="0.35">
      <c r="A227" s="31">
        <v>4</v>
      </c>
      <c r="B227" s="180" t="s">
        <v>66</v>
      </c>
      <c r="C227" s="181"/>
      <c r="D227" s="181"/>
      <c r="E227" s="181"/>
      <c r="F227" s="182"/>
      <c r="G227" s="3"/>
    </row>
    <row r="228" spans="1:7" ht="16.2" thickBot="1" x14ac:dyDescent="0.35">
      <c r="A228" s="2" t="s">
        <v>2</v>
      </c>
      <c r="B228" s="2" t="s">
        <v>1</v>
      </c>
      <c r="C228" s="2" t="s">
        <v>3</v>
      </c>
      <c r="D228" s="2" t="s">
        <v>4</v>
      </c>
      <c r="E228" s="122" t="s">
        <v>5</v>
      </c>
      <c r="F228" s="122" t="s">
        <v>6</v>
      </c>
      <c r="G228" s="3"/>
    </row>
    <row r="229" spans="1:7" ht="28.2" thickBot="1" x14ac:dyDescent="0.35">
      <c r="A229" s="2" t="s">
        <v>154</v>
      </c>
      <c r="B229" s="11" t="s">
        <v>90</v>
      </c>
      <c r="C229" s="2" t="s">
        <v>24</v>
      </c>
      <c r="D229" s="10">
        <v>5</v>
      </c>
      <c r="E229" s="99">
        <v>85</v>
      </c>
      <c r="F229" s="117">
        <f t="shared" ref="F229:F234" si="10">D229*E229</f>
        <v>425</v>
      </c>
      <c r="G229" s="3"/>
    </row>
    <row r="230" spans="1:7" ht="28.2" thickBot="1" x14ac:dyDescent="0.35">
      <c r="A230" s="2" t="s">
        <v>155</v>
      </c>
      <c r="B230" s="11" t="s">
        <v>67</v>
      </c>
      <c r="C230" s="2" t="s">
        <v>24</v>
      </c>
      <c r="D230" s="10">
        <v>5</v>
      </c>
      <c r="E230" s="99">
        <v>85</v>
      </c>
      <c r="F230" s="117">
        <f t="shared" si="10"/>
        <v>425</v>
      </c>
      <c r="G230" s="3"/>
    </row>
    <row r="231" spans="1:7" ht="28.2" thickBot="1" x14ac:dyDescent="0.35">
      <c r="A231" s="2" t="s">
        <v>156</v>
      </c>
      <c r="B231" s="11" t="s">
        <v>99</v>
      </c>
      <c r="C231" s="2" t="s">
        <v>24</v>
      </c>
      <c r="D231" s="10">
        <v>3</v>
      </c>
      <c r="E231" s="99">
        <v>100</v>
      </c>
      <c r="F231" s="117">
        <f>D231*E231</f>
        <v>300</v>
      </c>
      <c r="G231" s="3"/>
    </row>
    <row r="232" spans="1:7" ht="28.2" thickBot="1" x14ac:dyDescent="0.35">
      <c r="A232" s="2" t="s">
        <v>157</v>
      </c>
      <c r="B232" s="11" t="s">
        <v>89</v>
      </c>
      <c r="C232" s="2" t="s">
        <v>24</v>
      </c>
      <c r="D232" s="10">
        <v>5</v>
      </c>
      <c r="E232" s="99">
        <v>25</v>
      </c>
      <c r="F232" s="117">
        <f t="shared" si="10"/>
        <v>125</v>
      </c>
      <c r="G232" s="3"/>
    </row>
    <row r="233" spans="1:7" ht="28.2" thickBot="1" x14ac:dyDescent="0.35">
      <c r="A233" s="2" t="s">
        <v>158</v>
      </c>
      <c r="B233" s="46" t="s">
        <v>91</v>
      </c>
      <c r="C233" s="2" t="s">
        <v>24</v>
      </c>
      <c r="D233" s="10">
        <v>5</v>
      </c>
      <c r="E233" s="99">
        <v>100</v>
      </c>
      <c r="F233" s="117">
        <f t="shared" si="10"/>
        <v>500</v>
      </c>
      <c r="G233" s="3"/>
    </row>
    <row r="234" spans="1:7" ht="16.2" thickBot="1" x14ac:dyDescent="0.35">
      <c r="A234" s="2" t="s">
        <v>159</v>
      </c>
      <c r="B234" s="11" t="s">
        <v>92</v>
      </c>
      <c r="C234" s="2" t="s">
        <v>69</v>
      </c>
      <c r="D234" s="10">
        <v>5</v>
      </c>
      <c r="E234" s="99">
        <v>20</v>
      </c>
      <c r="F234" s="117">
        <f t="shared" si="10"/>
        <v>100</v>
      </c>
      <c r="G234" s="3"/>
    </row>
    <row r="235" spans="1:7" ht="16.2" thickBot="1" x14ac:dyDescent="0.35">
      <c r="B235" s="215" t="s">
        <v>68</v>
      </c>
      <c r="C235" s="216"/>
      <c r="D235" s="216"/>
      <c r="E235" s="217"/>
      <c r="F235" s="124">
        <f>SUM(F229:F234)</f>
        <v>1875</v>
      </c>
      <c r="G235" s="3"/>
    </row>
    <row r="236" spans="1:7" ht="15.6" x14ac:dyDescent="0.3">
      <c r="A236" s="95"/>
      <c r="B236" s="96"/>
      <c r="C236" s="96"/>
      <c r="D236" s="96"/>
      <c r="E236" s="150"/>
      <c r="F236" s="139"/>
      <c r="G236" s="3"/>
    </row>
    <row r="237" spans="1:7" ht="16.2" thickBot="1" x14ac:dyDescent="0.35">
      <c r="A237" s="94">
        <v>5</v>
      </c>
      <c r="B237" s="172" t="s">
        <v>161</v>
      </c>
      <c r="C237" s="172"/>
      <c r="D237" s="172"/>
      <c r="E237" s="172"/>
      <c r="F237" s="172"/>
      <c r="G237" s="3"/>
    </row>
    <row r="238" spans="1:7" ht="16.2" thickBot="1" x14ac:dyDescent="0.35">
      <c r="A238" s="2" t="s">
        <v>2</v>
      </c>
      <c r="B238" s="2" t="s">
        <v>1</v>
      </c>
      <c r="C238" s="2" t="s">
        <v>3</v>
      </c>
      <c r="D238" s="2" t="s">
        <v>4</v>
      </c>
      <c r="E238" s="122" t="s">
        <v>5</v>
      </c>
      <c r="F238" s="122" t="s">
        <v>6</v>
      </c>
      <c r="G238" s="3"/>
    </row>
    <row r="239" spans="1:7" ht="27.6" x14ac:dyDescent="0.3">
      <c r="A239" s="38" t="s">
        <v>160</v>
      </c>
      <c r="B239" s="36" t="s">
        <v>163</v>
      </c>
      <c r="C239" s="38" t="s">
        <v>63</v>
      </c>
      <c r="D239" s="39">
        <v>85</v>
      </c>
      <c r="E239" s="113">
        <v>3</v>
      </c>
      <c r="F239" s="114">
        <f>D239*E239</f>
        <v>255</v>
      </c>
      <c r="G239" s="3"/>
    </row>
    <row r="240" spans="1:7" ht="55.2" x14ac:dyDescent="0.3">
      <c r="A240" s="38" t="s">
        <v>162</v>
      </c>
      <c r="B240" s="36" t="s">
        <v>167</v>
      </c>
      <c r="C240" s="38" t="s">
        <v>23</v>
      </c>
      <c r="D240" s="39">
        <v>130.80000000000001</v>
      </c>
      <c r="E240" s="113">
        <v>1</v>
      </c>
      <c r="F240" s="114">
        <f t="shared" ref="F240:F243" si="11">D240*E240</f>
        <v>130.80000000000001</v>
      </c>
      <c r="G240" s="3"/>
    </row>
    <row r="241" spans="1:7" ht="15.6" x14ac:dyDescent="0.3">
      <c r="A241" s="38" t="s">
        <v>165</v>
      </c>
      <c r="B241" s="36" t="s">
        <v>164</v>
      </c>
      <c r="C241" s="38" t="s">
        <v>23</v>
      </c>
      <c r="D241" s="39">
        <v>19.5</v>
      </c>
      <c r="E241" s="113">
        <v>20</v>
      </c>
      <c r="F241" s="114">
        <f t="shared" si="11"/>
        <v>390</v>
      </c>
      <c r="G241" s="3"/>
    </row>
    <row r="242" spans="1:7" ht="27.6" x14ac:dyDescent="0.3">
      <c r="A242" s="38" t="s">
        <v>166</v>
      </c>
      <c r="B242" s="36" t="s">
        <v>168</v>
      </c>
      <c r="C242" s="38" t="s">
        <v>23</v>
      </c>
      <c r="D242" s="39">
        <v>19.5</v>
      </c>
      <c r="E242" s="113">
        <v>20</v>
      </c>
      <c r="F242" s="114">
        <f t="shared" si="11"/>
        <v>390</v>
      </c>
      <c r="G242" s="3"/>
    </row>
    <row r="243" spans="1:7" ht="41.4" x14ac:dyDescent="0.3">
      <c r="A243" s="38" t="s">
        <v>170</v>
      </c>
      <c r="B243" s="36" t="s">
        <v>169</v>
      </c>
      <c r="C243" s="38" t="s">
        <v>23</v>
      </c>
      <c r="D243" s="39">
        <v>19.5</v>
      </c>
      <c r="E243" s="113">
        <v>3</v>
      </c>
      <c r="F243" s="114">
        <f t="shared" si="11"/>
        <v>58.5</v>
      </c>
      <c r="G243" s="3"/>
    </row>
    <row r="244" spans="1:7" ht="15.6" x14ac:dyDescent="0.3">
      <c r="A244" s="12"/>
      <c r="B244" s="251" t="s">
        <v>171</v>
      </c>
      <c r="C244" s="251"/>
      <c r="D244" s="251"/>
      <c r="E244" s="252"/>
      <c r="F244" s="140">
        <f>SUM(F239:F243)</f>
        <v>1224.3</v>
      </c>
      <c r="G244" s="3"/>
    </row>
    <row r="245" spans="1:7" ht="15.6" x14ac:dyDescent="0.3">
      <c r="A245" s="12"/>
      <c r="B245" s="85"/>
      <c r="C245" s="85"/>
      <c r="D245" s="85"/>
      <c r="E245" s="151"/>
      <c r="F245" s="141"/>
      <c r="G245" s="3"/>
    </row>
    <row r="246" spans="1:7" ht="16.2" thickBot="1" x14ac:dyDescent="0.35">
      <c r="A246" s="94">
        <v>6</v>
      </c>
      <c r="B246" s="172" t="s">
        <v>74</v>
      </c>
      <c r="C246" s="172"/>
      <c r="D246" s="172"/>
      <c r="E246" s="172"/>
      <c r="F246" s="172"/>
      <c r="G246" s="3"/>
    </row>
    <row r="247" spans="1:7" ht="16.2" thickBot="1" x14ac:dyDescent="0.35">
      <c r="A247" s="2" t="s">
        <v>2</v>
      </c>
      <c r="B247" s="2" t="s">
        <v>1</v>
      </c>
      <c r="C247" s="2" t="s">
        <v>3</v>
      </c>
      <c r="D247" s="2" t="s">
        <v>4</v>
      </c>
      <c r="E247" s="122" t="s">
        <v>5</v>
      </c>
      <c r="F247" s="122" t="s">
        <v>6</v>
      </c>
      <c r="G247" s="3"/>
    </row>
    <row r="248" spans="1:7" ht="55.8" thickBot="1" x14ac:dyDescent="0.35">
      <c r="A248" s="42" t="s">
        <v>172</v>
      </c>
      <c r="B248" s="7" t="s">
        <v>75</v>
      </c>
      <c r="C248" s="5" t="s">
        <v>23</v>
      </c>
      <c r="D248" s="6">
        <f>25.53*5</f>
        <v>127.65</v>
      </c>
      <c r="E248" s="110">
        <v>20</v>
      </c>
      <c r="F248" s="117">
        <f>D248*E248</f>
        <v>2553</v>
      </c>
      <c r="G248" s="3"/>
    </row>
    <row r="249" spans="1:7" ht="69.599999999999994" thickBot="1" x14ac:dyDescent="0.35">
      <c r="A249" s="42" t="s">
        <v>173</v>
      </c>
      <c r="B249" s="7" t="s">
        <v>76</v>
      </c>
      <c r="C249" s="5" t="s">
        <v>23</v>
      </c>
      <c r="D249" s="6">
        <v>19.5</v>
      </c>
      <c r="E249" s="110">
        <v>20</v>
      </c>
      <c r="F249" s="117">
        <f>D249*E249</f>
        <v>390</v>
      </c>
      <c r="G249" s="3"/>
    </row>
    <row r="250" spans="1:7" ht="16.2" thickBot="1" x14ac:dyDescent="0.35">
      <c r="A250" s="43"/>
      <c r="B250" s="167" t="s">
        <v>77</v>
      </c>
      <c r="C250" s="167"/>
      <c r="D250" s="167"/>
      <c r="E250" s="168"/>
      <c r="F250" s="107">
        <f>SUM(F246:F249)</f>
        <v>2943</v>
      </c>
      <c r="G250" s="3"/>
    </row>
    <row r="251" spans="1:7" ht="15.6" x14ac:dyDescent="0.3">
      <c r="A251" s="43"/>
      <c r="B251" s="88"/>
      <c r="C251" s="88"/>
      <c r="D251" s="88"/>
      <c r="E251" s="152"/>
      <c r="F251" s="111"/>
      <c r="G251" s="3"/>
    </row>
    <row r="252" spans="1:7" ht="15.6" x14ac:dyDescent="0.3">
      <c r="A252" s="87"/>
      <c r="B252" s="253" t="s">
        <v>174</v>
      </c>
      <c r="C252" s="253"/>
      <c r="D252" s="253"/>
      <c r="E252" s="253"/>
      <c r="F252" s="253"/>
      <c r="G252" s="3"/>
    </row>
    <row r="253" spans="1:7" ht="15.6" x14ac:dyDescent="0.3">
      <c r="A253" s="17"/>
      <c r="B253" s="88"/>
      <c r="C253" s="88"/>
      <c r="D253" s="88"/>
      <c r="E253" s="152"/>
      <c r="F253" s="111"/>
      <c r="G253" s="3"/>
    </row>
    <row r="254" spans="1:7" ht="15.6" x14ac:dyDescent="0.3">
      <c r="A254" s="86">
        <v>1</v>
      </c>
      <c r="B254" s="254" t="str">
        <f>B205</f>
        <v>PUNIMET E DEMOLIMIT</v>
      </c>
      <c r="C254" s="254"/>
      <c r="D254" s="254"/>
      <c r="E254" s="254"/>
      <c r="F254" s="100">
        <f>F215</f>
        <v>1878.74</v>
      </c>
      <c r="G254" s="3"/>
    </row>
    <row r="255" spans="1:7" ht="15.6" x14ac:dyDescent="0.3">
      <c r="A255" s="86">
        <v>2</v>
      </c>
      <c r="B255" s="258" t="str">
        <f>B217</f>
        <v>INSTALIMI I KANALIZIMIT</v>
      </c>
      <c r="C255" s="259"/>
      <c r="D255" s="259"/>
      <c r="E255" s="260"/>
      <c r="F255" s="100">
        <f>F220</f>
        <v>1000</v>
      </c>
      <c r="G255" s="3"/>
    </row>
    <row r="256" spans="1:7" ht="15.6" x14ac:dyDescent="0.3">
      <c r="A256" s="86">
        <v>3</v>
      </c>
      <c r="B256" s="254" t="str">
        <f>B222</f>
        <v>INSTALIMET E UJËSJELLËSIT</v>
      </c>
      <c r="C256" s="254"/>
      <c r="D256" s="254"/>
      <c r="E256" s="254"/>
      <c r="F256" s="100">
        <f>F225</f>
        <v>1000</v>
      </c>
      <c r="G256" s="3"/>
    </row>
    <row r="257" spans="1:7" ht="15.6" x14ac:dyDescent="0.3">
      <c r="A257" s="86">
        <v>4</v>
      </c>
      <c r="B257" s="254" t="str">
        <f>B227</f>
        <v xml:space="preserve">PUNIMËT E SANITARISË </v>
      </c>
      <c r="C257" s="254"/>
      <c r="D257" s="254"/>
      <c r="E257" s="254"/>
      <c r="F257" s="100">
        <f>F235</f>
        <v>1875</v>
      </c>
      <c r="G257" s="3"/>
    </row>
    <row r="258" spans="1:7" ht="15.6" x14ac:dyDescent="0.3">
      <c r="A258" s="86">
        <v>5</v>
      </c>
      <c r="B258" s="254" t="str">
        <f>B237</f>
        <v xml:space="preserve"> PUNIMET E SUVATIMEVE , NIVELIZIMEVE DHE IZOLIMEVE</v>
      </c>
      <c r="C258" s="254"/>
      <c r="D258" s="254"/>
      <c r="E258" s="254"/>
      <c r="F258" s="100">
        <f>F244</f>
        <v>1224.3</v>
      </c>
      <c r="G258" s="3"/>
    </row>
    <row r="259" spans="1:7" ht="15.6" x14ac:dyDescent="0.3">
      <c r="A259" s="86">
        <v>6</v>
      </c>
      <c r="B259" s="254" t="str">
        <f>B246</f>
        <v>PUNIMËT E KERAMIKES</v>
      </c>
      <c r="C259" s="254"/>
      <c r="D259" s="254"/>
      <c r="E259" s="254"/>
      <c r="F259" s="100">
        <f>F250</f>
        <v>2943</v>
      </c>
      <c r="G259" s="3"/>
    </row>
    <row r="260" spans="1:7" ht="15.6" x14ac:dyDescent="0.3">
      <c r="A260" s="43"/>
      <c r="B260" s="255" t="s">
        <v>175</v>
      </c>
      <c r="C260" s="255"/>
      <c r="D260" s="255"/>
      <c r="E260" s="256"/>
      <c r="F260" s="101">
        <f>SUM(F254:F259)</f>
        <v>9921.0400000000009</v>
      </c>
      <c r="G260" s="3"/>
    </row>
    <row r="261" spans="1:7" ht="114.6" customHeight="1" thickBot="1" x14ac:dyDescent="0.35">
      <c r="A261" s="257"/>
      <c r="B261" s="257"/>
      <c r="C261" s="257"/>
      <c r="D261" s="257"/>
      <c r="E261" s="257"/>
      <c r="F261" s="257"/>
      <c r="G261" s="257"/>
    </row>
    <row r="262" spans="1:7" ht="16.2" thickBot="1" x14ac:dyDescent="0.35">
      <c r="A262" s="21"/>
      <c r="B262" s="183" t="s">
        <v>54</v>
      </c>
      <c r="C262" s="184"/>
      <c r="D262" s="184"/>
      <c r="E262" s="184"/>
      <c r="F262" s="185"/>
      <c r="G262" s="3"/>
    </row>
    <row r="263" spans="1:7" ht="16.2" thickBot="1" x14ac:dyDescent="0.35">
      <c r="A263" s="21"/>
      <c r="B263" s="21"/>
      <c r="C263" s="21"/>
      <c r="D263" s="21"/>
      <c r="E263" s="127"/>
      <c r="F263" s="127"/>
      <c r="G263" s="3"/>
    </row>
    <row r="264" spans="1:7" ht="16.2" thickBot="1" x14ac:dyDescent="0.35">
      <c r="A264" s="78" t="s">
        <v>12</v>
      </c>
      <c r="B264" s="219" t="str">
        <f>B142</f>
        <v xml:space="preserve">  PUNËT PËRGATITORE</v>
      </c>
      <c r="C264" s="220"/>
      <c r="D264" s="220"/>
      <c r="E264" s="221"/>
      <c r="F264" s="102">
        <f>F147</f>
        <v>700</v>
      </c>
      <c r="G264" s="3"/>
    </row>
    <row r="265" spans="1:7" ht="16.2" thickBot="1" x14ac:dyDescent="0.35">
      <c r="A265" s="78" t="s">
        <v>13</v>
      </c>
      <c r="B265" s="219" t="str">
        <f>B149</f>
        <v xml:space="preserve">PUNËT E NGJYROSJES DHE MOLERIMIT </v>
      </c>
      <c r="C265" s="220"/>
      <c r="D265" s="220"/>
      <c r="E265" s="221"/>
      <c r="F265" s="102">
        <f>F154</f>
        <v>2751.6800000000003</v>
      </c>
      <c r="G265" s="3"/>
    </row>
    <row r="266" spans="1:7" ht="16.2" thickBot="1" x14ac:dyDescent="0.35">
      <c r="A266" s="89" t="s">
        <v>36</v>
      </c>
      <c r="B266" s="219" t="str">
        <f>B156</f>
        <v>PUNIMET E PËRDEVE ME TRAKA VERTIKALE PËR DRITARE</v>
      </c>
      <c r="C266" s="220"/>
      <c r="D266" s="220"/>
      <c r="E266" s="221"/>
      <c r="F266" s="102">
        <f>F160</f>
        <v>1430</v>
      </c>
      <c r="G266" s="3"/>
    </row>
    <row r="267" spans="1:7" ht="16.2" thickBot="1" x14ac:dyDescent="0.35">
      <c r="A267" s="89" t="s">
        <v>37</v>
      </c>
      <c r="B267" s="219" t="str">
        <f>B163</f>
        <v>PUNIMET E ELEKTRIKES - NDRIÇIMIT</v>
      </c>
      <c r="C267" s="220"/>
      <c r="D267" s="220"/>
      <c r="E267" s="221"/>
      <c r="F267" s="103">
        <f>F167</f>
        <v>400</v>
      </c>
      <c r="G267" s="3"/>
    </row>
    <row r="268" spans="1:7" ht="16.2" thickBot="1" x14ac:dyDescent="0.35">
      <c r="A268" s="89" t="s">
        <v>38</v>
      </c>
      <c r="B268" s="219" t="str">
        <f>B169</f>
        <v xml:space="preserve">TRUPAT NGROHES/FTOHES </v>
      </c>
      <c r="C268" s="220"/>
      <c r="D268" s="220"/>
      <c r="E268" s="221"/>
      <c r="F268" s="103">
        <f>F188</f>
        <v>8820</v>
      </c>
      <c r="G268" s="3"/>
    </row>
    <row r="269" spans="1:7" ht="16.2" thickBot="1" x14ac:dyDescent="0.35">
      <c r="A269" s="89" t="s">
        <v>39</v>
      </c>
      <c r="B269" s="92" t="str">
        <f>B190</f>
        <v>PUNIMËT E DYSHEMEVE</v>
      </c>
      <c r="C269" s="93"/>
      <c r="D269" s="93"/>
      <c r="E269" s="153"/>
      <c r="F269" s="103">
        <f>F195</f>
        <v>1211.23</v>
      </c>
      <c r="G269" s="3"/>
    </row>
    <row r="270" spans="1:7" ht="15.6" x14ac:dyDescent="0.3">
      <c r="A270" s="90" t="s">
        <v>40</v>
      </c>
      <c r="B270" s="271" t="str">
        <f>B197</f>
        <v>PUNIMET E NDRYSHËME</v>
      </c>
      <c r="C270" s="272"/>
      <c r="D270" s="272"/>
      <c r="E270" s="273"/>
      <c r="F270" s="104">
        <f>F202</f>
        <v>450</v>
      </c>
      <c r="G270" s="3"/>
    </row>
    <row r="271" spans="1:7" ht="15.6" x14ac:dyDescent="0.3">
      <c r="A271" s="91" t="s">
        <v>82</v>
      </c>
      <c r="B271" s="264" t="str">
        <f>B204</f>
        <v>PUNIME NË  RREGULLIMIN E TUALETEVE</v>
      </c>
      <c r="C271" s="264"/>
      <c r="D271" s="264"/>
      <c r="E271" s="264"/>
      <c r="F271" s="105">
        <f>F260</f>
        <v>9921.0400000000009</v>
      </c>
      <c r="G271" s="3"/>
    </row>
    <row r="272" spans="1:7" ht="16.2" thickBot="1" x14ac:dyDescent="0.35">
      <c r="A272" s="265" t="s">
        <v>48</v>
      </c>
      <c r="B272" s="266"/>
      <c r="C272" s="266"/>
      <c r="D272" s="266"/>
      <c r="E272" s="267"/>
      <c r="F272" s="106">
        <f>SUM(F264:F271)</f>
        <v>25683.95</v>
      </c>
      <c r="G272" s="3"/>
    </row>
    <row r="274" spans="1:5" ht="15" thickBot="1" x14ac:dyDescent="0.35"/>
    <row r="275" spans="1:5" ht="30" customHeight="1" thickBot="1" x14ac:dyDescent="0.35">
      <c r="A275" s="268" t="s">
        <v>55</v>
      </c>
      <c r="B275" s="269"/>
      <c r="C275" s="269"/>
      <c r="D275" s="269"/>
      <c r="E275" s="270"/>
    </row>
    <row r="276" spans="1:5" ht="15" thickBot="1" x14ac:dyDescent="0.35">
      <c r="A276" s="177" t="s">
        <v>177</v>
      </c>
      <c r="B276" s="178"/>
      <c r="C276" s="178"/>
      <c r="D276" s="179"/>
      <c r="E276" s="155">
        <f>F138</f>
        <v>39316.053999999996</v>
      </c>
    </row>
    <row r="277" spans="1:5" ht="15" thickBot="1" x14ac:dyDescent="0.35">
      <c r="A277" s="177" t="s">
        <v>178</v>
      </c>
      <c r="B277" s="178"/>
      <c r="C277" s="178"/>
      <c r="D277" s="179"/>
      <c r="E277" s="155">
        <f>F272</f>
        <v>25683.95</v>
      </c>
    </row>
    <row r="278" spans="1:5" ht="18" thickBot="1" x14ac:dyDescent="0.35">
      <c r="A278" s="261" t="s">
        <v>46</v>
      </c>
      <c r="B278" s="262"/>
      <c r="C278" s="262"/>
      <c r="D278" s="263"/>
      <c r="E278" s="154">
        <f>SUM(E276:E277)</f>
        <v>65000.004000000001</v>
      </c>
    </row>
  </sheetData>
  <mergeCells count="112">
    <mergeCell ref="A276:D276"/>
    <mergeCell ref="A277:D277"/>
    <mergeCell ref="A278:D278"/>
    <mergeCell ref="B271:E271"/>
    <mergeCell ref="A272:E272"/>
    <mergeCell ref="A275:E275"/>
    <mergeCell ref="B265:E265"/>
    <mergeCell ref="B266:E266"/>
    <mergeCell ref="B267:E267"/>
    <mergeCell ref="B268:E268"/>
    <mergeCell ref="B270:E270"/>
    <mergeCell ref="B259:E259"/>
    <mergeCell ref="B260:E260"/>
    <mergeCell ref="A261:G261"/>
    <mergeCell ref="B262:F262"/>
    <mergeCell ref="B264:E264"/>
    <mergeCell ref="B254:E254"/>
    <mergeCell ref="B255:E255"/>
    <mergeCell ref="B256:E256"/>
    <mergeCell ref="B257:E257"/>
    <mergeCell ref="B258:E258"/>
    <mergeCell ref="B237:F237"/>
    <mergeCell ref="B244:E244"/>
    <mergeCell ref="B246:F246"/>
    <mergeCell ref="B250:E250"/>
    <mergeCell ref="B252:F252"/>
    <mergeCell ref="B220:E220"/>
    <mergeCell ref="B222:F222"/>
    <mergeCell ref="B225:E225"/>
    <mergeCell ref="B227:F227"/>
    <mergeCell ref="B235:E235"/>
    <mergeCell ref="B204:F204"/>
    <mergeCell ref="B205:F205"/>
    <mergeCell ref="A215:E215"/>
    <mergeCell ref="A216:F216"/>
    <mergeCell ref="B217:F217"/>
    <mergeCell ref="B190:F190"/>
    <mergeCell ref="B195:E195"/>
    <mergeCell ref="A196:F196"/>
    <mergeCell ref="B197:F197"/>
    <mergeCell ref="B202:E202"/>
    <mergeCell ref="A174:F174"/>
    <mergeCell ref="A176:A178"/>
    <mergeCell ref="A186:E186"/>
    <mergeCell ref="B188:E188"/>
    <mergeCell ref="A189:F189"/>
    <mergeCell ref="B163:F163"/>
    <mergeCell ref="B167:E167"/>
    <mergeCell ref="A168:F168"/>
    <mergeCell ref="B169:F169"/>
    <mergeCell ref="A171:F173"/>
    <mergeCell ref="A158:A159"/>
    <mergeCell ref="B158:F158"/>
    <mergeCell ref="B159:F159"/>
    <mergeCell ref="B161:E161"/>
    <mergeCell ref="A162:F162"/>
    <mergeCell ref="A147:E147"/>
    <mergeCell ref="B149:F149"/>
    <mergeCell ref="A154:E154"/>
    <mergeCell ref="A155:F155"/>
    <mergeCell ref="B156:F156"/>
    <mergeCell ref="B76:F76"/>
    <mergeCell ref="B140:F140"/>
    <mergeCell ref="B142:F142"/>
    <mergeCell ref="B144:F144"/>
    <mergeCell ref="A62:F62"/>
    <mergeCell ref="B63:F63"/>
    <mergeCell ref="B72:E72"/>
    <mergeCell ref="A73:F73"/>
    <mergeCell ref="B74:F74"/>
    <mergeCell ref="B125:E125"/>
    <mergeCell ref="B137:E137"/>
    <mergeCell ref="A138:E138"/>
    <mergeCell ref="B126:E126"/>
    <mergeCell ref="B47:F47"/>
    <mergeCell ref="B51:E51"/>
    <mergeCell ref="B77:F77"/>
    <mergeCell ref="B53:F53"/>
    <mergeCell ref="B123:F123"/>
    <mergeCell ref="B56:E56"/>
    <mergeCell ref="A57:F57"/>
    <mergeCell ref="B58:F58"/>
    <mergeCell ref="B81:F81"/>
    <mergeCell ref="B90:E90"/>
    <mergeCell ref="A94:F96"/>
    <mergeCell ref="B92:F92"/>
    <mergeCell ref="A80:F80"/>
    <mergeCell ref="A91:F91"/>
    <mergeCell ref="B79:E79"/>
    <mergeCell ref="B61:E61"/>
    <mergeCell ref="A97:F97"/>
    <mergeCell ref="A99:A101"/>
    <mergeCell ref="A112:F112"/>
    <mergeCell ref="A109:E109"/>
    <mergeCell ref="B111:E111"/>
    <mergeCell ref="B113:F113"/>
    <mergeCell ref="B121:E121"/>
    <mergeCell ref="A76:A77"/>
    <mergeCell ref="B22:E22"/>
    <mergeCell ref="B45:E45"/>
    <mergeCell ref="B2:F2"/>
    <mergeCell ref="B12:F12"/>
    <mergeCell ref="B10:E10"/>
    <mergeCell ref="B4:F4"/>
    <mergeCell ref="B6:F6"/>
    <mergeCell ref="B7:F7"/>
    <mergeCell ref="B39:F39"/>
    <mergeCell ref="B24:F24"/>
    <mergeCell ref="B26:F26"/>
    <mergeCell ref="B30:E30"/>
    <mergeCell ref="B32:F32"/>
    <mergeCell ref="B37:E37"/>
  </mergeCells>
  <pageMargins left="0.7" right="0.7" top="0.75" bottom="0.75" header="0.3" footer="0.3"/>
  <pageSetup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Gjilan</vt:lpstr>
      <vt:lpstr>Gjilan!_Toc465686911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2025-02-25T15:26:27Z</dcterms:modified>
</cp:coreProperties>
</file>