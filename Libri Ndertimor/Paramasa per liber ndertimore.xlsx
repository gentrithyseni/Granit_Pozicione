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filterPrivacy="1" codeName="ThisWorkbook" defaultThemeVersion="124226"/>
  <xr:revisionPtr revIDLastSave="0" documentId="13_ncr:1_{D5AF7FB2-8912-4377-A587-F186B828F3B9}" xr6:coauthVersionLast="47" xr6:coauthVersionMax="47" xr10:uidLastSave="{00000000-0000-0000-0000-000000000000}"/>
  <bookViews>
    <workbookView xWindow="-108" yWindow="-108" windowWidth="23256" windowHeight="12456" xr2:uid="{00000000-000D-0000-FFFF-FFFF00000000}"/>
  </bookViews>
  <sheets>
    <sheet name="Renovimi dhe kabina ne DS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3" i="4" l="1"/>
  <c r="H74" i="4"/>
  <c r="H75" i="4"/>
  <c r="H76" i="4"/>
  <c r="H77" i="4"/>
  <c r="H78" i="4"/>
  <c r="H79" i="4"/>
  <c r="H72" i="4"/>
  <c r="H64" i="4"/>
  <c r="H65" i="4"/>
  <c r="H66" i="4"/>
  <c r="H67" i="4"/>
  <c r="H63" i="4"/>
  <c r="H45" i="4"/>
  <c r="H46" i="4"/>
  <c r="H47" i="4"/>
  <c r="H48" i="4"/>
  <c r="H49" i="4"/>
  <c r="H50" i="4"/>
  <c r="H51" i="4"/>
  <c r="H52" i="4"/>
  <c r="H53" i="4"/>
  <c r="H54" i="4"/>
  <c r="H55" i="4"/>
  <c r="H56" i="4"/>
  <c r="H57" i="4"/>
  <c r="H44" i="4"/>
  <c r="G53" i="4"/>
  <c r="G36" i="4"/>
  <c r="H37" i="4"/>
  <c r="H38" i="4"/>
  <c r="H39" i="4"/>
  <c r="H36" i="4"/>
  <c r="H40" i="4" s="1"/>
  <c r="H86" i="4" s="1"/>
  <c r="H30" i="4"/>
  <c r="H31" i="4" s="1"/>
  <c r="H85" i="4" s="1"/>
  <c r="H15" i="4"/>
  <c r="H16" i="4"/>
  <c r="H14" i="4"/>
  <c r="H22" i="4"/>
  <c r="H23" i="4"/>
  <c r="H24" i="4"/>
  <c r="H21" i="4"/>
  <c r="H25" i="4"/>
  <c r="H84" i="4" s="1"/>
  <c r="F30" i="4"/>
  <c r="F31" i="4" s="1"/>
  <c r="F85" i="4" s="1"/>
  <c r="F73" i="4"/>
  <c r="F74" i="4"/>
  <c r="F75" i="4"/>
  <c r="F76" i="4"/>
  <c r="F77" i="4"/>
  <c r="F78" i="4"/>
  <c r="F79" i="4"/>
  <c r="F72" i="4"/>
  <c r="F64" i="4"/>
  <c r="F65" i="4"/>
  <c r="F66" i="4"/>
  <c r="F67" i="4"/>
  <c r="F63" i="4"/>
  <c r="F45" i="4"/>
  <c r="F46" i="4"/>
  <c r="F47" i="4"/>
  <c r="F48" i="4"/>
  <c r="F49" i="4"/>
  <c r="F50" i="4"/>
  <c r="F51" i="4"/>
  <c r="F52" i="4"/>
  <c r="F54" i="4"/>
  <c r="F55" i="4"/>
  <c r="F56" i="4"/>
  <c r="F57" i="4"/>
  <c r="F44" i="4"/>
  <c r="F37" i="4"/>
  <c r="F38" i="4"/>
  <c r="F39" i="4"/>
  <c r="F22" i="4"/>
  <c r="F23" i="4"/>
  <c r="F24" i="4"/>
  <c r="F21" i="4"/>
  <c r="F15" i="4"/>
  <c r="F16" i="4"/>
  <c r="F14" i="4"/>
  <c r="B89" i="4"/>
  <c r="B88" i="4"/>
  <c r="B87" i="4"/>
  <c r="H17" i="4" l="1"/>
  <c r="H83" i="4" s="1"/>
  <c r="H58" i="4"/>
  <c r="H87" i="4" s="1"/>
  <c r="H80" i="4"/>
  <c r="H89" i="4" s="1"/>
  <c r="H68" i="4"/>
  <c r="H88" i="4" s="1"/>
  <c r="H90" i="4" s="1"/>
  <c r="G93" i="4" s="1"/>
  <c r="F68" i="4"/>
  <c r="F88" i="4" s="1"/>
  <c r="F25" i="4"/>
  <c r="F84" i="4" s="1"/>
  <c r="F17" i="4"/>
  <c r="F83" i="4" s="1"/>
  <c r="F80" i="4"/>
  <c r="F89" i="4" s="1"/>
  <c r="D53" i="4"/>
  <c r="F53" i="4" s="1"/>
  <c r="F58" i="4" s="1"/>
  <c r="F87" i="4" s="1"/>
  <c r="B83" i="4" l="1"/>
  <c r="D36" i="4"/>
  <c r="F36" i="4" s="1"/>
  <c r="F40" i="4" s="1"/>
  <c r="F86" i="4" s="1"/>
  <c r="F90" i="4" s="1"/>
  <c r="B86" i="4" l="1"/>
  <c r="B84" i="4"/>
  <c r="B85" i="4" l="1"/>
</calcChain>
</file>

<file path=xl/sharedStrings.xml><?xml version="1.0" encoding="utf-8"?>
<sst xmlns="http://schemas.openxmlformats.org/spreadsheetml/2006/main" count="180" uniqueCount="109">
  <si>
    <t xml:space="preserve">  PUNËT PËRGATITORE</t>
  </si>
  <si>
    <t xml:space="preserve">Përshkrimi i pozicionit </t>
  </si>
  <si>
    <t>POS</t>
  </si>
  <si>
    <t>Njësia</t>
  </si>
  <si>
    <t>Sasia</t>
  </si>
  <si>
    <t xml:space="preserve">Çmimi </t>
  </si>
  <si>
    <t>Gjithsej</t>
  </si>
  <si>
    <t>Masat e sigurisë: Duhet të jenë në nivelin më të lartë për arsye të ruajtjes së shëndetit të personave që punojnë dhe jetojnë afër punishtes. Pra në këte mënyrë duhet të bëhet rrethimi sa më i mirë i punishtes dhe vendosjes së materialeve në të si dhe të mirren masat e nevojshme të sigurisë (preventiva) hapësinore në mes të zonës nën ndërtim dhe zonave të tjera të cilat mbeten në shfrytëzim gjatë fazës së punimeve Materialet nuk duhet të dalin jashtë rrethojes së punishtes. 
Punishtja të rrethohet me tabela prej llamarine dhe me konstruksion të përforcuar mirë në tokë. Para fillimit të punimeve punëkryesi duhet që në kosto të parasheh edhe çkyqjen e instalimeve eksistuese në fillim të ekzekutimit të punimeve si dhe rikyqjen e instalimeve pas realizimit të punimeve si dhe punimet dhe masat e nevojshme për  konzervimin të instalimeve ekzistuese te cilat ngelen në shërbim (funksion) gjatë dhe pas realizimit të punimeve.
Për çdo ndryshim të mundshëm në projekt gjatë realizimit të punimeve duhet të konsultohet organi mbikëqyrës dhe projektantin.</t>
  </si>
  <si>
    <t>Për secilin pozicion ku janë përmendur  karakteristikat teknike të prodhuesit mund të përdoren materiale me karakterisika të ngjajshme të prodhuesve të ndryshëm në përputhje me standardet EC dhe ISO.</t>
  </si>
  <si>
    <t>I</t>
  </si>
  <si>
    <t>II</t>
  </si>
  <si>
    <t xml:space="preserve">PUNËT  E  DEMOLIMIT </t>
  </si>
  <si>
    <t xml:space="preserve"> Gjithësejt punime të demolimit:</t>
  </si>
  <si>
    <t>m²</t>
  </si>
  <si>
    <t>komplet</t>
  </si>
  <si>
    <t>Gjithësejt punime të zdurkthtarise :</t>
  </si>
  <si>
    <t>PUNIMËT E ZDRUKTHTARIS</t>
  </si>
  <si>
    <t xml:space="preserve">copë </t>
  </si>
  <si>
    <t>III</t>
  </si>
  <si>
    <t>IV</t>
  </si>
  <si>
    <t>V</t>
  </si>
  <si>
    <t>Gjithsej punët parapërgatitore:</t>
  </si>
  <si>
    <t>Shënimi I kantierit me shenja rreziku në zonat ku do të punohet te Rinovimit te objektit  sipas projektit detal ,gjatë kohës  sa zgjatin punimet. Llog. në komplet</t>
  </si>
  <si>
    <r>
      <t>PUNIMET T</t>
    </r>
    <r>
      <rPr>
        <b/>
        <sz val="12"/>
        <color theme="1"/>
        <rFont val="Calibri"/>
        <family val="2"/>
      </rPr>
      <t>Ë</t>
    </r>
    <r>
      <rPr>
        <b/>
        <sz val="12"/>
        <color theme="1"/>
        <rFont val="Times New Roman"/>
        <family val="1"/>
      </rPr>
      <t xml:space="preserve"> TJERA</t>
    </r>
  </si>
  <si>
    <t>Gjithësejt punime të tjera :</t>
  </si>
  <si>
    <t>Para furnizimi , duhet kontrrollohen të  gjitha masat e dyerve nga  brenda dhe jashtë . Në ҫmim përfshihet të  gjitha punë t e nevojshme te  muratimit si dhe molerimit  në  mbushjen e hapsirave dhe vrimave si dhe finalizimin e vendosjes së tyre.</t>
  </si>
  <si>
    <t xml:space="preserve">Furnizimi, transporti dhe montimi i dyerve të brendshme 90x200 cm materiali nga PVC dhe me dimensione totale te paraqitura ne projekt . Ne kalkulim te perfshihen edhe punimi i ramit nga betoni pasi te jete demoluar si dhe te pregaditen rregullimet e nevojeshme  te fasades dhe suvatimit te pershtaten me gjendjen dhe murin egzistues, si dhe te gjitha materialet dhe elementet e nevojshme per montimin e dyerve si dhe mekanizmi i mbylljes me çeles. </t>
  </si>
  <si>
    <r>
      <t>PUNIMËT E KONSTRUKSIONIT METALIKE DHE ZDRUKTHTARIS (S= 16,0m</t>
    </r>
    <r>
      <rPr>
        <b/>
        <sz val="12"/>
        <color theme="1"/>
        <rFont val="Calibri"/>
        <family val="2"/>
      </rPr>
      <t>²</t>
    </r>
  </si>
  <si>
    <t xml:space="preserve">Punimet te realizohen në përputhje me Kushtet Teknike për Punimet  e bravandreqës duhet të raportohen profesionalisht dhe me cilësi, dhe në të gjitha aspektet sipas Kushteve Teknike për Punimet Bravëndreqëse, strukturave prej çeliku dhe alumini, përshkrimi teknik, vizatimet e detajuara dhe udhëzimet e Projektuesit.
 Para fillimit të prodhimit të elementeve bravandreqës, kontraktori bravandreqës duhet së pari të bie dakord me Projektuesin për mënyrën e kryerjes së punimeve. E gjithë kjo duhet të deklarohet në procesverbal, si dhe ndryshimet e mundshme që sjellin ndryshime në sasitë dhe llojet e materialeve, të cilat më vonë do të përdoren për llogaritjen e sasive. 
Lidhjet dhe nyjet e elementeve duhet të bëhen në përputhje me vizatimet dhe udhëzimet e detajuara të Projektuesit, në varësi të llojit të materialit dhe pamjes së kërkuar të elementit të përfunduar. Të gjitha nyjet duhet të ekzekutohen në mënyrë të përsosur me prerje korrekte dhe precize. Të gjithë elementët bravandreqës që kërkojnë ndërtim të veçantë (rezistencë ndaj ujit, vulosje etj.) duhet t'u besohen organizatave të specializuara për këtë lloj elementësh.I gjithë materiali i montuar duhet të ketë certifikatë cilësie, saldatorët e ndërtimit duhet të kenë gjithashtu një certifikatë nga një organizatë e autorizuar, Instituti për këtë lloj pune. Të gjithë elementët e përfunduar të hekurit duhet të mbrohen nga korrozioni në punishte një herë me mini ose zinkolit, me përjashtim të elementeve për të cilët është planifikuar përpunimi përfundimtar dhe mbrojtja në fabrikë. Montimi i të gjithë elementëve në kantier kryhet në mënyrë profesionale, ndërsa montimi i elementeve speciale bëhet në punishte.
Çmimi i punimeve të bravandreqës përfshin prodhimin, mbrojtjen kundër korrozionit, montimin, përpunimin përfundimtar, si dhe të gjitha skelat e nevojshme për punë nga prodhuesi i materialit. Për të gjitha pozicionet, Kontraktori është i detyruar t'i paraqesë Projektuesit të gjitha detajet e punëtorisë së instalimit të miratuara nga Projektuesi dhe Investitori.
Para fillimit të punimeve duhet të merren masa në vend.
</t>
  </si>
  <si>
    <t xml:space="preserve">Punimi i konstruksionit te kabines nga profilet e celikut e specifikuar ne llogarine statike. per konstruksionin e kabinese.Celiku duhet te montohet ne perputhje me normat dhe standardet e parapara per keto punime. Kualiteti i celikut dhe  saldimit te behet ne perputhje me ISO standardet. Testet e materialit dhe punes jane te domosdoshme. Konstruksioni i celikut lyhet me ngjyre antikoorduese minimum dhe ngjyre per hekur. Llog. ne kg </t>
  </si>
  <si>
    <t>kg</t>
  </si>
  <si>
    <t xml:space="preserve"> Gjithësejt punime të konstruksionit metalik:</t>
  </si>
  <si>
    <t xml:space="preserve"> copë</t>
  </si>
  <si>
    <t>Blerja,furnizimi me material , dhe vendosja e mbuleses nga lamarina me termoizolim panel d=5 cm e brinjezuar me plastifikim ne pjesen e anexit dhe mveshja e pjeseve vertikale e mureve ,te pjerta dhe atikes se strehes  , Llamarina duhet të jenë të sheshta , pa  demtuara dhe të kualitetit të lartë.Dizajnin dhe ngjyren e percakton Investitori  Në ҫmim përfshihet  edhe vendosja e e mbrojteseve te rreshqitjes se borest të përforcuar me bulona ,Llogaritja për m2 të sipërfaqes se pjerte.</t>
  </si>
  <si>
    <t xml:space="preserve"> m²</t>
  </si>
  <si>
    <t>m'</t>
  </si>
  <si>
    <t>copë</t>
  </si>
  <si>
    <t xml:space="preserve">Blerja e materialeve, transporti si dhe Montimi dhe lidhja e llambës murale te jashteme ISOBA 7W, prodhimi "EGLO", IP 43 ose të ngjashme paguhet një komplet me aksesorët përkatës të montimit.Llogaritja për copë.
</t>
  </si>
  <si>
    <t xml:space="preserve">Blerja e materialeve, transporti si dhe punimi dhe montimi i konektorit schuko serial 16A, 250V 50 Hz IP20, mbrojtja per ne muri dypole me kontakt tokezimi dhe insert porcelani.Llog. per copë.
</t>
  </si>
  <si>
    <t>Furnizimi me material si dhe montimi i tavolinave   me gjatësi të ndryshme dhe gjerësi 400/800 mm nga druri. Llog. ne copë</t>
  </si>
  <si>
    <t xml:space="preserve">Furnizimi me material si dhe montimi i shportave të plehrave me dimensione  jashtme 27/27 cm dhe lartesi H= 68 cm me kapacitet 20 litërsh.  Shporta është me mekanizem per largimin e plehut, punëkryesi obligohet që para vurjes në veper të marr aprovomin nga ana e organit mbikëqyrës . Lloji i shportes duhet të jet i patentuar dhe çertifikuar.
</t>
  </si>
  <si>
    <t>Identifikimi dhe dislokimi i instalimeve egzistuese (ujesjelles, kanalizimi,instalime makineris. instalimet rrymes, instalimet telefonise dhe internetit), piketimi dhe regjistrimi në ditarin ndërtimor, me qellim të evitimin parandalimin dëmtimeve eventuale mund të ndikojë në rrezikimin e personelit,  Në këtë pozicion përfshihet edhe plani I situacionit të rrjetit ekzistues me qellim që të hartohet plani i veprimit për shkyqje dhe demolim të rrjetit ekzistues pastrimin e terenit dhe pregaditjen e kushteve teknike të përgjithshme për ndërtimin dhe rinovimin e kthinave te cilat do te trajtohen  Llog. në komplet</t>
  </si>
  <si>
    <t>Furnizimi me material si dhe montimi i nje shkalle nga pllaka metalike 250x300x1000 x6 mm  me nenkonstruksion metalik nga profilet mbajtese dhe ankerime per dysheme  Shkalla vendoset ne  pozicionin e hyrje- dalje ne teraco dhe sherben per mbrojtjen e tubave horizontale te ngrohjes qendrore .Ne cmim te parashifet izolimi i gypave me matrjal nga nje unaz metalike me mbushje nga shkuma purpen,  punëkryesi obligohet që para vurjes në veper të marr aprovomin nga ana e organit mbikëqyrës . Lloji i ne komplet</t>
  </si>
  <si>
    <t>Furnizimi me amballazh mbrojtës dhe paketimi me kujdes i gjësendeve me vlerë në zonë ku do të rinovohet, duke përfshirë bartjen dhe lëvizjen e mobiljeve ekzistuese duke u kujdesur që mos të dëmtohen dhe pastaj të kthehen në gjendjes të mëparshme pas përfundimit të punimeve. Vërejtje: Çdo dëmtim evetual i gjërave me vlerë të mobiljeve gjatë zhvendosjes/lëvizjes nga pakujdesia e punëtorve mbetet përgjegjësi e Operatorit Ekonomik që ta kompenzoj dëmin.</t>
  </si>
  <si>
    <t>Furnizimi, transporti dhe montimi i dritareve të kabines fikse 80x140 cm materiali nga PVC dhe me dimensione totale te paraqitura ne projekt . Ne kalkulim te perfshihen edhe punimi i ramit nga konstruksioni metalik dhe pershtaten me gjendjen dhe murin e fasdes se kabines me solbank nga llamarina e plastifikuar, si dhe te gjitha materialet dhe elementet e nevojshme per montimin e dritareve si dhe mekanizmi i mbylljes . Llog. ne copë</t>
  </si>
  <si>
    <t>Furnizimi, transporti dhe montimi ii deres nje kraheshe nga Pvc 90x205 cm  të kabines fikse 80x140 cm materiali nga PVC dhe me dimensione totale te paraqitura ne projekt . Ne kalkulim te perfshihen edhe punimi i ramit nga konstruksioni metalik dhe pershtaten me gjendjen dhe murin e fasdes se kabines me solbank nga llamarina e plastifikuar, si dhe te gjitha materialet dhe elementet e nevojshme per montimin e dritareve si dhe mekanizmi i mbylljes . Llog. ne copë</t>
  </si>
  <si>
    <t>Demolimi ,pastrimi ,largimi I konstruksionit te tavanit me te gjitha materialeve ,gjesendeve që duhet te demolohen  per realizimin e punimeve.Në çmim te parashifen edhe demolimi I kater drritave me sistem per Amstrong. Materiali I demoluar me transport ne deponin te cilin e cakton Investitorit. Llog në m2</t>
  </si>
  <si>
    <t>Furnizimi, transporti dhe punimi  i dyshemeve e të kabines me nivelizim nga betoni gjysem i terur  me punim te shtresave termoizolues nga stiroduri dhe shtresave tjera sipas standardeve . Ne kalkulim te perfshihen edhe punimi i Lminatit llajsneve perimetrike , si dhe te gjitha materialet dhe elementet e nevojshme per montimin e dyshemes  . Llog. ne m²</t>
  </si>
  <si>
    <r>
      <t>Furnizimi, transporti dhe montimi i nje pjese te murit mr llamarin te plastifikuae Në çmim te parashifet edhe punimi i nen konstruksionit nga profilet metalikee të muri I atikes h=1.0 m me drrasa te punuara d=16 mm  me  mveshje nga llamarina. Në çmim te parashifen edhe mjetet lidhes si dhe platforma punueseLlog. ne m</t>
    </r>
    <r>
      <rPr>
        <sz val="11"/>
        <color theme="1"/>
        <rFont val="Calibri"/>
        <family val="2"/>
      </rPr>
      <t>²</t>
    </r>
  </si>
  <si>
    <t>Furnizimi me material si dhe montimi i ulëseve me gjatësi të caktuar dei ne 10 m dhe gjerësi 400 mm nga druri. Në çmim duhet të parashihet edhe ankerimi per dysheme . Në çmim parashihet edhe lyerja me material për mbrojtje kundër lagështisë, insekteve, këpurdhave si dhe lyerja përfundimtare. Punëkryesi obligohet që para vurjes në veper të marr aprovomin nga ana e organit mbikëqyrës si dhe gjithashtu paraprakisht të prezentoj çertifikatat dhe atestet e nevojshme për aprovim nga ana e organit mbikëqyrës. Lloji i ulëseve duhet të jetë i patentuar dhe i çertifikuar</t>
  </si>
  <si>
    <t>Furnizimi, transportimi dhe ngjyrosja e mureve dhe Pllafoneve të  kthinavet të brendshme me ngjyrë dispersive. Ngjyren e cakton organi mbikqyres</t>
  </si>
  <si>
    <t xml:space="preserve">VI </t>
  </si>
  <si>
    <t>PUNIMET NË TUALETE</t>
  </si>
  <si>
    <t>m;</t>
  </si>
  <si>
    <t>Furnizimi, transporti dhe instalimi i tubave PVC të profileve  Ø110,Ø75,Ø50 si dhe Redukues neper tualete te parapar sipas zgjiddjes se re te krijuar me dokumentacion teknik.Në çmim te parashifen edhe ujembledhest horizontal,kokat perfundimtare te kanalizimit te sanitarive</t>
  </si>
  <si>
    <t>Gjithësejt punime të  kanalizimeve:</t>
  </si>
  <si>
    <t>Pregaditja e platformes punuese per  kanalizimin e mbrendeshem  sipas zgjidhjes te re te krijuar te prezentuar ne dokumentacinin teknik si lidhja me rrjetin ekzistuesvertikal  te kanalizimeve në ndërtesë  në Përdhesë Në çmimi llogariten edhe depërtimet nepër  mure dhe konstruksion te meskateve (pllaka)   si dhe rehabilitimin e mureve dhe siperfaqeve horizontale  te cilat jene depertue..Në mbi kulm te realizohet ajerimi me koka ventiluese dhe llamarin e gjithe sipas normave dhe standardeve te cilat jene ne fuqi Llog komplet</t>
  </si>
  <si>
    <t>Furnizimi, transporti dhe instalimi i tubave PVC të profileve  Ø;110 per vertikale te kanalizimit.Në çmimi te parashifen lidhja me kanalizimin egzistues ,elemente revizionit ,lidhjet meper nivele me knalizimet horizontale sidhe kokat e ventilimit të punuara sipas standardeve dhe normave per kesi lloj punimesh.Te parashifet edhe platforma punuese dhe skelet.</t>
  </si>
  <si>
    <t>Blerja, transporti dhe instalimi i një Pisoari për WC me të gjithë elementët e nevojshëm të lidhëse fazonike për funskionalizim të plotë.Llog komplet</t>
  </si>
  <si>
    <t>copë.</t>
  </si>
  <si>
    <t>Gjithësejt punime të  sanitaris:</t>
  </si>
  <si>
    <t>VII</t>
  </si>
  <si>
    <t>Blerja, transporti dhe instalimi i një Gaske për WC e cila instalohet ne mur me rezervuar të fshrhur ,duke kursyer hapsir dhe duke ofruar dizajn .gjithë elementët e nevojshëm të lidhëse fazonike për funskionalizim të plotë.Llog komplet</t>
  </si>
  <si>
    <t>Furnizimi me material si dhe punimi I keramikave ne mure dhe dysheme.Dizajni duhet te jet sikurse ato egzistues</t>
  </si>
  <si>
    <t xml:space="preserve">komplet </t>
  </si>
  <si>
    <t>PUNIMËT E SANITARISË DHE TË NDRYSHME</t>
  </si>
  <si>
    <t>Pnimet e  pa specifikara ne projekt te cilat  e munde te shfaqen gjate realizimit te projektite me te gjitha shpenzimet . Llog ne komplet</t>
  </si>
  <si>
    <t>VI</t>
  </si>
  <si>
    <t>Furnizimi me material si dhe punimi I mveshjes se gypave të kanalizimit neper depertimin shkalleve,kthinave  te plastifikuar me elemeente te pllakave te knaufit Në çmim te llogariten edhe punimet tjera percjellese te cilat kerkohen sipas standardeve.deri ne finalizimme ngjyrosje Llog. m'</t>
  </si>
  <si>
    <t>Pastrimi, larja, dizinfektimi i gjithembarshem i hapesirave te brendshme te objektit pas perfundimit te punimeve. Materiali i cili pastrohet te largohet nga objekti.Llog ne komplet</t>
  </si>
  <si>
    <t>Furnizimi dhe montimi I konstruksionit nga amstrongu, ne çmim te llogaritet edhe largimi i Dritave e te demtuara dhe zevendesimi i tyre me te reja.Llog ne m²</t>
  </si>
  <si>
    <t>Furnizimi i materialit dhe ngjyrosja e mureve të koridorit me ngjyrë ne tri shtresa. Deri ne lartesine h=1.2m, te aplikohet ngjyra e yndyrshme e cila mund te mirembahet-pastrohet me uj. Ngjyren e cakton organi mbikqyres</t>
  </si>
  <si>
    <t>Furnizimi me material si dhe punimi I hidroizolimit horizontal dhe vertikal i siperfaqeve te teracos se kulmit ne nivelin me gjersi te zhvilluar (120+42 ) cm.Në çmim te parashifet pastrimi I siperfaqeve nga mbeturinat ne siperfaqet e izolimit egzistues.Llog ne m²</t>
  </si>
  <si>
    <t xml:space="preserve">Mbrojtja e zdrukthtaris se mbrendeshme dhe te jashtme   ne  objekt. dritareve dhe dyerve ,inventari dhe elementeve tjera dekorative ne murte e  administrates   ne ato vende ku nuk jene parapar riparime  dhe sanime për të parandaluar dëmtimet fizike gjatë ekzekutimit të punimeve. Siguriimi  të bëni me tre shtresa: nga folia e PVC .Llogaritja për e sipërfaqeve të murit të mbuluar me mbrojtje Llogaritja për komplet 
</t>
  </si>
  <si>
    <t xml:space="preserve">Blerja e materialeve, transporti si dhe punimi i instalimit elektrik të ndriçimit me përçues të tipit PP-Y 3x1.5 mm², komplet 1kV me punimin e brazdave në mur me montimin e kutive lidhëse.Llogaritja për copë Furnizimi nga lidhja me e afert e objektit.Llog në komplet
</t>
  </si>
  <si>
    <t xml:space="preserve">Demolimi me kujdes te shtuar i sanitarive egzistuese ,si dhe uje mbledheseve horizontal te dyshemeve si dhe largimi i tyre me transport deri ne deponi,te cilen e caktoninvestitori .Llog ne cop </t>
  </si>
  <si>
    <t xml:space="preserve">Demolimi me kujdes te shtuar i Pllakave keramike ne vendet e parapara   te dyshemeve si dhe largimi i tyre me transport deri ne deponi,te cilen e caktoninvestitori .deri ne 6 m2.Llog ne cop </t>
  </si>
  <si>
    <t xml:space="preserve">Blerja, transporti dhe montimi i ujembledhesave ne dy tualete dhe ne koridorit </t>
  </si>
  <si>
    <t>Pastrimi perfundimtar i punishtes nga mbeturinat e mundeshme te materialeve nderimore,ngarkimi me transport deri ne deponi. Llog ne komplet</t>
  </si>
  <si>
    <t>RENOVIMET DHE NDËRTIMI I KABINËS NË KUADËR TË DSS-së</t>
  </si>
  <si>
    <t xml:space="preserve">REKAPITULLIMI I PUNIMEVE  </t>
  </si>
  <si>
    <t xml:space="preserve">PARAMASA DHE PARALLOGARITJA E PUNIMËVE DEPARTAMENTI I SKEMAVE SOCIALE      LAGJA ,, QAFA'' p.n. PRISHTINE </t>
  </si>
  <si>
    <t>Demolimi e deres egzistuese  per dalje ne teras sipas skices ne vizatim  (90x200) cm.Hapja e murit duhët të behët me prerje dhe duhet patur kujdes te shtuar per mos demtimin e instalimeve te mundeshme egzistuese te cilat jen funksionale (Inatalime elektrike ,ngrohje ,gardhe metalike ,shkalle mermeri)     , largimi I materialit te demoluar me taransport vertikal dhe horizontal   deri në deponinë administrative apo deponi e caktuar nga organi mbikëqyrës.Llog në komplet</t>
  </si>
  <si>
    <t xml:space="preserve">Largimi i tullave te fasades të cilat jene te demtuara ne muret e koridoreve te tek zyret e Divizionit/Projektit B.B, rreth 5 m²,te njejtat te zavendesohen me te reja te punohen me punim te fugave dizajni dhe forma te njejta sikurse ato egzistuese.Në çmim te parashifet edhe pastrimi i tullave tjera te te fazades me larje dhe detrexhente adekuate si  dhe riparimi i suvatimit te demtuar me llaq vazhdues me perdorim te rrjetes rabic  me ngjyrna deri ne finalizim.Materiali i demoluar  me bajtje transport derii ne deponi. </t>
  </si>
  <si>
    <t>Demolimi i nivelizimit  të dyshemet në hapësiren e parapare per vendosjenne kabines per duhanpiresit  duke patur parasyshe evitimet e demeve te mundeshme Largimi i materialit te demoluar me taransport vertikal dhe horizontal deri në deponinë administrative apo deponi e caktuar nga organi mbikëqyrës.Llog në m2</t>
  </si>
  <si>
    <t>Çmimi  me TVSH</t>
  </si>
  <si>
    <t>Shuma  totale me TVSH</t>
  </si>
  <si>
    <t>TOTALI :</t>
  </si>
  <si>
    <t>Numri i kontratës:</t>
  </si>
  <si>
    <t>Kontraktuesi :</t>
  </si>
  <si>
    <t>Lënda :</t>
  </si>
  <si>
    <t>Data :</t>
  </si>
  <si>
    <t>SITUACIONI I PARË DHE PËRFUNDIMTARË</t>
  </si>
  <si>
    <t>05.11.2025</t>
  </si>
  <si>
    <t>Renovimi dhe Adaptimi i hapësirave ne objektin e DSS-së</t>
  </si>
  <si>
    <t>201.-25-4600-5-2-1 / C278</t>
  </si>
  <si>
    <t xml:space="preserve"> " MEGRANT ING "  SH.P.K.  </t>
  </si>
  <si>
    <t xml:space="preserve"> Situacioni i parë dhe përfundimtarë</t>
  </si>
  <si>
    <t xml:space="preserve">     ADMINISTRATA E QENDRËS -                                                                          MINISTRIA E FINANCAVE,PUNËS DHE TRANSFEREVE                                       </t>
  </si>
  <si>
    <t>Shënim me rëndësi :</t>
  </si>
  <si>
    <t>________________________</t>
  </si>
  <si>
    <t>AUTORITETI KONTRAKTUES :</t>
  </si>
  <si>
    <t xml:space="preserve">                                                                                            Totali  situacioni i parë dhe përfundimtarë</t>
  </si>
  <si>
    <t>Kontraktuesi :                                                                 Menaxher i  kontratës :</t>
  </si>
  <si>
    <t xml:space="preserve">"Megrant Ing" SH.P.K                                                    znj. Albana Bajrami    </t>
  </si>
  <si>
    <t xml:space="preserve"> ____________________                                          ________________</t>
  </si>
  <si>
    <t>Titulli i projektit :</t>
  </si>
  <si>
    <t>Mbikqyrës i drejtpërdrejt i menaxherit të kontratës :</t>
  </si>
  <si>
    <t xml:space="preserve">z. Mentor Morina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</si>
</sst>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1]"/>
    <numFmt numFmtId="165" formatCode="#,##0.00\ [$€-1]_);[Red]\(#,##0.00\ [$€-1]\)"/>
    <numFmt numFmtId="166" formatCode="#,##0.00\ [$€-1];[Red]\-#,##0.00\ [$€-1]"/>
    <numFmt numFmtId="167" formatCode="0.000"/>
  </numFmts>
  <fonts count="29" x14ac:knownFonts="1">
    <font>
      <sz val="11"/>
      <color theme="1"/>
      <name val="Calibri"/>
      <family val="2"/>
      <scheme val="minor"/>
    </font>
    <font>
      <sz val="11"/>
      <color theme="1"/>
      <name val="Times New Roman"/>
      <family val="1"/>
    </font>
    <font>
      <b/>
      <sz val="12"/>
      <color theme="1"/>
      <name val="Times New Roman"/>
      <family val="1"/>
    </font>
    <font>
      <b/>
      <sz val="11"/>
      <color theme="1"/>
      <name val="Times New Roman"/>
      <family val="1"/>
    </font>
    <font>
      <sz val="11"/>
      <color theme="1"/>
      <name val="Calibri"/>
      <family val="2"/>
    </font>
    <font>
      <b/>
      <sz val="12"/>
      <color theme="1"/>
      <name val="Calibri"/>
      <family val="2"/>
    </font>
    <font>
      <b/>
      <sz val="14"/>
      <color theme="1"/>
      <name val="Calibri"/>
      <family val="2"/>
      <scheme val="minor"/>
    </font>
    <font>
      <sz val="12"/>
      <color theme="1"/>
      <name val="Times New Roman"/>
      <family val="1"/>
    </font>
    <font>
      <b/>
      <sz val="12"/>
      <color theme="1"/>
      <name val="Calibri"/>
      <family val="2"/>
      <scheme val="minor"/>
    </font>
    <font>
      <sz val="10"/>
      <color theme="1"/>
      <name val="Times New Roman"/>
      <family val="1"/>
    </font>
    <font>
      <sz val="11"/>
      <color theme="1"/>
      <name val="Calibri"/>
      <family val="2"/>
      <scheme val="minor"/>
    </font>
    <font>
      <b/>
      <sz val="11"/>
      <name val="Arial"/>
      <family val="2"/>
    </font>
    <font>
      <b/>
      <sz val="10"/>
      <name val="Arial"/>
      <family val="2"/>
    </font>
    <font>
      <b/>
      <sz val="12"/>
      <name val="Arial"/>
      <family val="2"/>
    </font>
    <font>
      <b/>
      <sz val="9"/>
      <name val="Arial"/>
      <family val="2"/>
    </font>
    <font>
      <b/>
      <sz val="14"/>
      <color theme="1"/>
      <name val="Times New Roman"/>
      <family val="1"/>
    </font>
    <font>
      <sz val="10"/>
      <name val="Arial"/>
      <family val="2"/>
    </font>
    <font>
      <b/>
      <u/>
      <sz val="12"/>
      <color theme="1"/>
      <name val="Times New Roman"/>
      <family val="1"/>
    </font>
    <font>
      <sz val="14"/>
      <color theme="1"/>
      <name val="Calibri"/>
      <family val="2"/>
      <scheme val="minor"/>
    </font>
    <font>
      <sz val="14"/>
      <name val="Arial"/>
      <family val="2"/>
    </font>
    <font>
      <b/>
      <sz val="16"/>
      <color theme="1"/>
      <name val="Times New Roman"/>
      <family val="1"/>
    </font>
    <font>
      <sz val="16"/>
      <color theme="1"/>
      <name val="Calibri"/>
      <family val="2"/>
      <scheme val="minor"/>
    </font>
    <font>
      <b/>
      <sz val="16"/>
      <name val="Times New Roman"/>
      <family val="1"/>
    </font>
    <font>
      <sz val="16"/>
      <name val="Arial"/>
      <family val="2"/>
    </font>
    <font>
      <sz val="16"/>
      <color theme="1"/>
      <name val="Book Antiqua"/>
      <family val="1"/>
    </font>
    <font>
      <b/>
      <sz val="14"/>
      <name val="Arial"/>
      <family val="2"/>
    </font>
    <font>
      <sz val="14"/>
      <color theme="1"/>
      <name val="Times New Roman"/>
      <family val="1"/>
    </font>
    <font>
      <b/>
      <sz val="18"/>
      <color theme="1"/>
      <name val="Calibri"/>
      <family val="2"/>
      <scheme val="minor"/>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rgb="FFFFC000"/>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auto="1"/>
      </left>
      <right/>
      <top/>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0" fillId="0" borderId="0" applyFont="0" applyFill="0" applyBorder="0" applyAlignment="0" applyProtection="0"/>
    <xf numFmtId="43" fontId="16" fillId="0" borderId="0" applyFont="0" applyFill="0" applyBorder="0" applyAlignment="0" applyProtection="0"/>
  </cellStyleXfs>
  <cellXfs count="202">
    <xf numFmtId="0" fontId="0" fillId="0" borderId="0" xfId="0"/>
    <xf numFmtId="0" fontId="1" fillId="0" borderId="1" xfId="0" applyFont="1" applyBorder="1" applyAlignment="1">
      <alignment horizontal="center" vertical="center"/>
    </xf>
    <xf numFmtId="0" fontId="7" fillId="0" borderId="0" xfId="0" applyFont="1"/>
    <xf numFmtId="0" fontId="0" fillId="0" borderId="10" xfId="0" applyBorder="1"/>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right"/>
    </xf>
    <xf numFmtId="164" fontId="2" fillId="2" borderId="0" xfId="0" applyNumberFormat="1" applyFont="1" applyFill="1" applyAlignment="1">
      <alignment horizontal="center"/>
    </xf>
    <xf numFmtId="164" fontId="1" fillId="2" borderId="0" xfId="0" applyNumberFormat="1" applyFont="1" applyFill="1" applyAlignment="1">
      <alignment horizontal="center" vertical="center"/>
    </xf>
    <xf numFmtId="2" fontId="1" fillId="2" borderId="0" xfId="0" applyNumberFormat="1" applyFont="1" applyFill="1" applyAlignment="1">
      <alignment horizontal="center" vertical="center"/>
    </xf>
    <xf numFmtId="0" fontId="1" fillId="2" borderId="0" xfId="0" applyFont="1" applyFill="1"/>
    <xf numFmtId="0" fontId="1" fillId="2" borderId="0" xfId="0" applyFont="1" applyFill="1" applyAlignment="1">
      <alignment horizontal="center" vertical="center"/>
    </xf>
    <xf numFmtId="165" fontId="2" fillId="3" borderId="1" xfId="0" applyNumberFormat="1" applyFont="1" applyFill="1" applyBorder="1"/>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2" fillId="3" borderId="1" xfId="0" applyFont="1" applyFill="1" applyBorder="1"/>
    <xf numFmtId="164" fontId="2" fillId="3" borderId="1" xfId="0" applyNumberFormat="1" applyFont="1" applyFill="1" applyBorder="1" applyAlignment="1">
      <alignment horizontal="center"/>
    </xf>
    <xf numFmtId="164" fontId="2" fillId="3" borderId="1" xfId="0" applyNumberFormat="1" applyFont="1" applyFill="1" applyBorder="1" applyAlignment="1">
      <alignment horizontal="center" vertical="top" wrapText="1"/>
    </xf>
    <xf numFmtId="0" fontId="1" fillId="2" borderId="2"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wrapText="1"/>
    </xf>
    <xf numFmtId="0" fontId="1" fillId="2" borderId="8" xfId="0" applyFont="1" applyFill="1" applyBorder="1" applyAlignment="1">
      <alignment horizontal="center"/>
    </xf>
    <xf numFmtId="4" fontId="1" fillId="2" borderId="1"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2" borderId="9" xfId="0" applyFont="1" applyFill="1" applyBorder="1"/>
    <xf numFmtId="0" fontId="6" fillId="3" borderId="1" xfId="0" applyFont="1" applyFill="1" applyBorder="1" applyAlignment="1">
      <alignment horizontal="center" vertical="center"/>
    </xf>
    <xf numFmtId="0" fontId="7" fillId="2" borderId="0" xfId="0" applyFont="1" applyFill="1"/>
    <xf numFmtId="0" fontId="1" fillId="2" borderId="0" xfId="0" applyFont="1" applyFill="1" applyAlignment="1">
      <alignment horizontal="right"/>
    </xf>
    <xf numFmtId="164" fontId="2" fillId="3" borderId="4" xfId="0" applyNumberFormat="1" applyFont="1" applyFill="1" applyBorder="1"/>
    <xf numFmtId="0" fontId="1" fillId="2" borderId="7" xfId="0" applyFont="1" applyFill="1" applyBorder="1" applyAlignment="1">
      <alignment horizontal="center" vertical="center"/>
    </xf>
    <xf numFmtId="0" fontId="1" fillId="2" borderId="13" xfId="0" applyFont="1" applyFill="1" applyBorder="1" applyAlignment="1">
      <alignment horizontal="center" vertical="center"/>
    </xf>
    <xf numFmtId="2" fontId="1" fillId="2" borderId="7" xfId="0" applyNumberFormat="1" applyFont="1" applyFill="1" applyBorder="1" applyAlignment="1">
      <alignment horizontal="center" vertical="center"/>
    </xf>
    <xf numFmtId="2" fontId="1" fillId="2" borderId="13" xfId="0" applyNumberFormat="1" applyFont="1" applyFill="1" applyBorder="1" applyAlignment="1">
      <alignment horizontal="center" vertical="center"/>
    </xf>
    <xf numFmtId="0" fontId="7" fillId="2" borderId="1" xfId="0" applyFont="1" applyFill="1" applyBorder="1" applyAlignment="1">
      <alignment horizontal="center" vertical="center"/>
    </xf>
    <xf numFmtId="164" fontId="7" fillId="2" borderId="1" xfId="0" applyNumberFormat="1" applyFont="1" applyFill="1" applyBorder="1" applyAlignment="1">
      <alignment horizontal="right" vertical="center"/>
    </xf>
    <xf numFmtId="164" fontId="7" fillId="2" borderId="4" xfId="0" applyNumberFormat="1" applyFont="1" applyFill="1" applyBorder="1" applyAlignment="1">
      <alignment horizontal="right" vertical="center"/>
    </xf>
    <xf numFmtId="164" fontId="2" fillId="3" borderId="8" xfId="0" applyNumberFormat="1" applyFont="1" applyFill="1" applyBorder="1" applyAlignment="1">
      <alignment horizontal="center" vertical="center"/>
    </xf>
    <xf numFmtId="164" fontId="1" fillId="2" borderId="13" xfId="0" applyNumberFormat="1" applyFont="1" applyFill="1" applyBorder="1" applyAlignment="1">
      <alignment horizontal="center" vertical="center"/>
    </xf>
    <xf numFmtId="164" fontId="1" fillId="2" borderId="1" xfId="0" applyNumberFormat="1" applyFont="1" applyFill="1" applyBorder="1" applyAlignment="1">
      <alignment horizontal="right" vertical="center"/>
    </xf>
    <xf numFmtId="0" fontId="7" fillId="2" borderId="3" xfId="0" applyFont="1" applyFill="1" applyBorder="1" applyAlignment="1">
      <alignment horizontal="left"/>
    </xf>
    <xf numFmtId="0" fontId="7" fillId="2" borderId="4" xfId="0" applyFont="1" applyFill="1" applyBorder="1" applyAlignment="1">
      <alignment horizontal="left"/>
    </xf>
    <xf numFmtId="165" fontId="2" fillId="3" borderId="0" xfId="0" applyNumberFormat="1" applyFont="1" applyFill="1"/>
    <xf numFmtId="0" fontId="3" fillId="4" borderId="13" xfId="0" applyFont="1" applyFill="1" applyBorder="1" applyAlignment="1">
      <alignment horizontal="center" vertical="center"/>
    </xf>
    <xf numFmtId="0" fontId="1" fillId="2" borderId="17" xfId="0" applyFont="1" applyFill="1" applyBorder="1" applyAlignment="1">
      <alignment horizontal="left" vertical="top" wrapText="1"/>
    </xf>
    <xf numFmtId="0" fontId="1" fillId="2" borderId="18" xfId="0" applyFont="1" applyFill="1" applyBorder="1" applyAlignment="1">
      <alignment horizontal="center" vertical="center"/>
    </xf>
    <xf numFmtId="2" fontId="1" fillId="2" borderId="18" xfId="0" applyNumberFormat="1" applyFont="1" applyFill="1" applyBorder="1" applyAlignment="1">
      <alignment horizontal="center" vertical="center"/>
    </xf>
    <xf numFmtId="164" fontId="2" fillId="3" borderId="1" xfId="0" applyNumberFormat="1" applyFont="1" applyFill="1" applyBorder="1"/>
    <xf numFmtId="0" fontId="1" fillId="2" borderId="1" xfId="0" applyFont="1" applyFill="1" applyBorder="1" applyAlignment="1">
      <alignment vertical="top" wrapText="1"/>
    </xf>
    <xf numFmtId="0" fontId="1" fillId="0" borderId="1" xfId="0" applyFont="1" applyBorder="1" applyAlignment="1">
      <alignment horizontal="left" vertical="top" wrapText="1"/>
    </xf>
    <xf numFmtId="2" fontId="1" fillId="0" borderId="1" xfId="0" applyNumberFormat="1" applyFont="1" applyBorder="1" applyAlignment="1">
      <alignment horizontal="center" vertical="center"/>
    </xf>
    <xf numFmtId="0" fontId="1" fillId="0" borderId="7" xfId="0" applyFont="1" applyBorder="1" applyAlignment="1">
      <alignment horizontal="center" vertical="center"/>
    </xf>
    <xf numFmtId="0" fontId="1" fillId="0" borderId="13" xfId="0" applyFont="1" applyBorder="1" applyAlignment="1">
      <alignment horizontal="center" vertical="center"/>
    </xf>
    <xf numFmtId="0" fontId="1" fillId="2" borderId="7" xfId="0" applyFont="1" applyFill="1" applyBorder="1" applyAlignment="1">
      <alignment vertical="top" wrapText="1"/>
    </xf>
    <xf numFmtId="0" fontId="1" fillId="2" borderId="13" xfId="0" applyFont="1" applyFill="1" applyBorder="1" applyAlignment="1">
      <alignment vertical="top" wrapText="1"/>
    </xf>
    <xf numFmtId="2"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xf>
    <xf numFmtId="165" fontId="7" fillId="0" borderId="13" xfId="0" applyNumberFormat="1" applyFont="1" applyBorder="1"/>
    <xf numFmtId="164" fontId="8" fillId="3" borderId="18" xfId="0" applyNumberFormat="1" applyFont="1" applyFill="1" applyBorder="1"/>
    <xf numFmtId="0" fontId="1" fillId="2" borderId="13" xfId="0" applyFont="1" applyFill="1" applyBorder="1" applyAlignment="1">
      <alignment horizontal="left" vertical="top" wrapText="1"/>
    </xf>
    <xf numFmtId="164" fontId="7" fillId="0" borderId="0" xfId="0" applyNumberFormat="1" applyFont="1"/>
    <xf numFmtId="0" fontId="1" fillId="0" borderId="1" xfId="0" applyFont="1" applyBorder="1" applyAlignment="1">
      <alignment horizontal="center" vertical="center" wrapText="1"/>
    </xf>
    <xf numFmtId="0" fontId="11" fillId="0" borderId="13" xfId="0" applyFont="1" applyBorder="1" applyAlignment="1">
      <alignment vertical="center"/>
    </xf>
    <xf numFmtId="43" fontId="1" fillId="2" borderId="1" xfId="1" applyFont="1" applyFill="1" applyBorder="1" applyAlignment="1">
      <alignment horizontal="center" vertical="center"/>
    </xf>
    <xf numFmtId="2" fontId="1" fillId="2" borderId="8" xfId="0" applyNumberFormat="1" applyFont="1" applyFill="1" applyBorder="1" applyAlignment="1">
      <alignment horizontal="center" vertical="center" wrapText="1"/>
    </xf>
    <xf numFmtId="0" fontId="1" fillId="0" borderId="7" xfId="0" applyFont="1" applyBorder="1"/>
    <xf numFmtId="0" fontId="1" fillId="0" borderId="18" xfId="0" applyFont="1" applyBorder="1"/>
    <xf numFmtId="0" fontId="1" fillId="0" borderId="8" xfId="0" applyFont="1" applyBorder="1"/>
    <xf numFmtId="0" fontId="1" fillId="0" borderId="19" xfId="0" applyFont="1" applyBorder="1"/>
    <xf numFmtId="0" fontId="1" fillId="0" borderId="27" xfId="0" applyFont="1" applyBorder="1"/>
    <xf numFmtId="0" fontId="1" fillId="0" borderId="6" xfId="0" applyFont="1" applyBorder="1"/>
    <xf numFmtId="0" fontId="1" fillId="0" borderId="26" xfId="0" applyFont="1" applyBorder="1"/>
    <xf numFmtId="0" fontId="0" fillId="0" borderId="19" xfId="0" applyBorder="1"/>
    <xf numFmtId="0" fontId="0" fillId="0" borderId="17" xfId="0" applyBorder="1"/>
    <xf numFmtId="0" fontId="0" fillId="0" borderId="12" xfId="0" applyBorder="1"/>
    <xf numFmtId="0" fontId="7" fillId="0" borderId="6" xfId="0" applyFont="1" applyBorder="1"/>
    <xf numFmtId="0" fontId="7" fillId="0" borderId="19" xfId="0" applyFont="1" applyBorder="1"/>
    <xf numFmtId="0" fontId="0" fillId="0" borderId="6" xfId="0" applyBorder="1"/>
    <xf numFmtId="0" fontId="7" fillId="0" borderId="17" xfId="0" applyFont="1" applyBorder="1"/>
    <xf numFmtId="164" fontId="8" fillId="3" borderId="1" xfId="0" applyNumberFormat="1" applyFont="1" applyFill="1" applyBorder="1"/>
    <xf numFmtId="0" fontId="7" fillId="2" borderId="27" xfId="0" applyFont="1" applyFill="1" applyBorder="1"/>
    <xf numFmtId="165" fontId="7" fillId="0" borderId="29" xfId="0" applyNumberFormat="1" applyFont="1" applyBorder="1"/>
    <xf numFmtId="0" fontId="7" fillId="0" borderId="12" xfId="0" applyFont="1" applyBorder="1"/>
    <xf numFmtId="0" fontId="1" fillId="2" borderId="19" xfId="0" applyFont="1" applyFill="1" applyBorder="1"/>
    <xf numFmtId="0" fontId="17" fillId="0" borderId="0" xfId="0" applyFont="1" applyAlignment="1">
      <alignment horizontal="left" vertical="top"/>
    </xf>
    <xf numFmtId="167" fontId="7" fillId="0" borderId="0" xfId="0" applyNumberFormat="1" applyFont="1" applyAlignment="1">
      <alignment horizontal="center" vertical="center"/>
    </xf>
    <xf numFmtId="0" fontId="7" fillId="0" borderId="0" xfId="0" applyFont="1" applyAlignment="1">
      <alignment horizontal="center" vertical="center"/>
    </xf>
    <xf numFmtId="2" fontId="7" fillId="0" borderId="0" xfId="0" applyNumberFormat="1" applyFont="1" applyAlignment="1">
      <alignment horizontal="center" vertical="center"/>
    </xf>
    <xf numFmtId="0" fontId="18" fillId="0" borderId="0" xfId="0" applyFont="1"/>
    <xf numFmtId="0" fontId="15" fillId="0" borderId="0" xfId="0" applyFont="1" applyAlignment="1">
      <alignment vertical="center"/>
    </xf>
    <xf numFmtId="0" fontId="22" fillId="0" borderId="0" xfId="0" applyFont="1"/>
    <xf numFmtId="0" fontId="23" fillId="0" borderId="0" xfId="0" applyFont="1"/>
    <xf numFmtId="0" fontId="22" fillId="0" borderId="0" xfId="0" applyFont="1" applyAlignment="1">
      <alignment vertical="center"/>
    </xf>
    <xf numFmtId="0" fontId="24" fillId="0" borderId="0" xfId="0" applyFont="1" applyAlignment="1">
      <alignment horizontal="center" vertical="center"/>
    </xf>
    <xf numFmtId="0" fontId="25" fillId="0" borderId="0" xfId="0" applyFont="1"/>
    <xf numFmtId="0" fontId="12" fillId="0" borderId="0" xfId="0" applyFont="1"/>
    <xf numFmtId="0" fontId="21" fillId="0" borderId="0" xfId="0" applyFont="1"/>
    <xf numFmtId="0" fontId="7" fillId="0" borderId="28" xfId="0" applyFont="1" applyBorder="1" applyAlignment="1">
      <alignment vertical="top" wrapText="1"/>
    </xf>
    <xf numFmtId="0" fontId="7" fillId="0" borderId="0" xfId="0" applyFont="1" applyAlignment="1">
      <alignment vertical="top" wrapText="1"/>
    </xf>
    <xf numFmtId="0" fontId="15" fillId="0" borderId="0" xfId="0" applyFont="1"/>
    <xf numFmtId="0" fontId="28" fillId="0" borderId="0" xfId="0" applyFont="1"/>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166" fontId="27" fillId="0" borderId="14" xfId="2" applyNumberFormat="1" applyFont="1" applyBorder="1" applyAlignment="1">
      <alignment horizontal="center" vertical="center"/>
    </xf>
    <xf numFmtId="166" fontId="27" fillId="0" borderId="16" xfId="2" applyNumberFormat="1" applyFont="1" applyBorder="1" applyAlignment="1">
      <alignment horizontal="center" vertical="center"/>
    </xf>
    <xf numFmtId="0" fontId="26" fillId="0" borderId="20" xfId="0" applyFont="1" applyBorder="1" applyAlignment="1">
      <alignment horizontal="left" vertical="top" wrapText="1"/>
    </xf>
    <xf numFmtId="0" fontId="26" fillId="0" borderId="21" xfId="0" applyFont="1" applyBorder="1" applyAlignment="1">
      <alignment horizontal="left" vertical="top" wrapText="1"/>
    </xf>
    <xf numFmtId="0" fontId="26" fillId="0" borderId="30" xfId="0" applyFont="1" applyBorder="1" applyAlignment="1">
      <alignment horizontal="left" vertical="top" wrapText="1"/>
    </xf>
    <xf numFmtId="0" fontId="26" fillId="0" borderId="28" xfId="0" applyFont="1" applyBorder="1" applyAlignment="1">
      <alignment horizontal="left" vertical="top" wrapText="1"/>
    </xf>
    <xf numFmtId="0" fontId="26" fillId="0" borderId="0" xfId="0" applyFont="1" applyAlignment="1">
      <alignment horizontal="left" vertical="top" wrapText="1"/>
    </xf>
    <xf numFmtId="0" fontId="26" fillId="0" borderId="10" xfId="0" applyFont="1" applyBorder="1" applyAlignment="1">
      <alignment horizontal="left" vertical="top" wrapText="1"/>
    </xf>
    <xf numFmtId="0" fontId="26" fillId="0" borderId="31" xfId="0" applyFont="1" applyBorder="1" applyAlignment="1">
      <alignment horizontal="left" vertical="top" wrapText="1"/>
    </xf>
    <xf numFmtId="0" fontId="26" fillId="0" borderId="32" xfId="0" applyFont="1" applyBorder="1" applyAlignment="1">
      <alignment horizontal="left" vertical="top" wrapText="1"/>
    </xf>
    <xf numFmtId="0" fontId="26" fillId="0" borderId="33" xfId="0" applyFont="1" applyBorder="1" applyAlignment="1">
      <alignment horizontal="left" vertical="top" wrapText="1"/>
    </xf>
    <xf numFmtId="0" fontId="19" fillId="0" borderId="0" xfId="0" applyFont="1" applyAlignment="1">
      <alignment horizontal="left" wrapText="1"/>
    </xf>
    <xf numFmtId="0" fontId="11" fillId="0" borderId="14" xfId="0" applyFont="1" applyBorder="1" applyAlignment="1">
      <alignment horizontal="left" vertical="center"/>
    </xf>
    <xf numFmtId="0" fontId="11" fillId="0" borderId="16" xfId="0" applyFont="1" applyBorder="1" applyAlignment="1">
      <alignment horizontal="left"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7" fillId="2" borderId="22" xfId="0" applyFont="1" applyFill="1" applyBorder="1" applyAlignment="1">
      <alignment horizontal="left" vertical="center"/>
    </xf>
    <xf numFmtId="0" fontId="7" fillId="2" borderId="23" xfId="0" applyFont="1" applyFill="1" applyBorder="1" applyAlignment="1">
      <alignment horizontal="left" vertical="center"/>
    </xf>
    <xf numFmtId="0" fontId="7" fillId="2" borderId="24" xfId="0" applyFont="1" applyFill="1" applyBorder="1" applyAlignment="1">
      <alignment horizontal="left" vertical="center"/>
    </xf>
    <xf numFmtId="0" fontId="7" fillId="2" borderId="14" xfId="0" applyFont="1" applyFill="1" applyBorder="1" applyAlignment="1">
      <alignment horizontal="left" vertical="center"/>
    </xf>
    <xf numFmtId="0" fontId="7" fillId="2" borderId="15" xfId="0" applyFont="1" applyFill="1" applyBorder="1" applyAlignment="1">
      <alignment horizontal="left" vertical="center"/>
    </xf>
    <xf numFmtId="0" fontId="7" fillId="2" borderId="16" xfId="0" applyFont="1" applyFill="1" applyBorder="1" applyAlignment="1">
      <alignment horizontal="left" vertical="center"/>
    </xf>
    <xf numFmtId="0" fontId="2" fillId="4" borderId="20" xfId="0" applyFont="1" applyFill="1" applyBorder="1" applyAlignment="1">
      <alignment horizontal="center"/>
    </xf>
    <xf numFmtId="0" fontId="2" fillId="4" borderId="21" xfId="0" applyFont="1" applyFill="1" applyBorder="1" applyAlignment="1">
      <alignment horizontal="center"/>
    </xf>
    <xf numFmtId="0" fontId="2" fillId="4" borderId="25" xfId="0" applyFont="1" applyFill="1" applyBorder="1" applyAlignment="1">
      <alignment horizontal="center"/>
    </xf>
    <xf numFmtId="0" fontId="2" fillId="2" borderId="2" xfId="0" applyFont="1" applyFill="1" applyBorder="1" applyAlignment="1">
      <alignment horizontal="right"/>
    </xf>
    <xf numFmtId="0" fontId="2" fillId="2" borderId="3" xfId="0" applyFont="1" applyFill="1" applyBorder="1" applyAlignment="1">
      <alignment horizontal="right"/>
    </xf>
    <xf numFmtId="0" fontId="2" fillId="2" borderId="4" xfId="0" applyFont="1" applyFill="1" applyBorder="1" applyAlignment="1">
      <alignment horizontal="right"/>
    </xf>
    <xf numFmtId="0" fontId="7" fillId="2" borderId="2" xfId="0" applyFont="1" applyFill="1" applyBorder="1" applyAlignment="1">
      <alignment horizontal="left" vertical="top"/>
    </xf>
    <xf numFmtId="0" fontId="7" fillId="2" borderId="3" xfId="0" applyFont="1" applyFill="1" applyBorder="1" applyAlignment="1">
      <alignment horizontal="left" vertical="top"/>
    </xf>
    <xf numFmtId="0" fontId="7" fillId="2" borderId="4" xfId="0" applyFont="1" applyFill="1" applyBorder="1" applyAlignment="1">
      <alignment horizontal="left" vertical="top"/>
    </xf>
    <xf numFmtId="0" fontId="7" fillId="2" borderId="2" xfId="0" applyFont="1" applyFill="1" applyBorder="1" applyAlignment="1">
      <alignment horizontal="left"/>
    </xf>
    <xf numFmtId="0" fontId="7" fillId="2" borderId="3" xfId="0" applyFont="1" applyFill="1" applyBorder="1" applyAlignment="1">
      <alignment horizontal="left"/>
    </xf>
    <xf numFmtId="0" fontId="7" fillId="2" borderId="4" xfId="0" applyFont="1" applyFill="1" applyBorder="1" applyAlignment="1">
      <alignment horizontal="left"/>
    </xf>
    <xf numFmtId="0" fontId="9" fillId="2" borderId="26" xfId="0" applyFont="1" applyFill="1" applyBorder="1" applyAlignment="1">
      <alignment horizontal="left" vertical="top" wrapText="1"/>
    </xf>
    <xf numFmtId="0" fontId="9" fillId="2" borderId="5" xfId="0" applyFont="1" applyFill="1" applyBorder="1" applyAlignment="1">
      <alignment horizontal="left" vertical="top"/>
    </xf>
    <xf numFmtId="0" fontId="9" fillId="2" borderId="6" xfId="0" applyFont="1" applyFill="1" applyBorder="1" applyAlignment="1">
      <alignment horizontal="left" vertical="top"/>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3"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 fillId="2" borderId="14" xfId="0" applyFont="1" applyFill="1" applyBorder="1" applyAlignment="1">
      <alignment horizontal="center"/>
    </xf>
    <xf numFmtId="0" fontId="1" fillId="2" borderId="15" xfId="0" applyFont="1" applyFill="1" applyBorder="1" applyAlignment="1">
      <alignment horizont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5" borderId="3" xfId="0" applyFont="1" applyFill="1" applyBorder="1" applyAlignment="1">
      <alignment horizontal="center"/>
    </xf>
    <xf numFmtId="0" fontId="2" fillId="2" borderId="5" xfId="0" applyFont="1" applyFill="1" applyBorder="1" applyAlignment="1">
      <alignment horizontal="right" vertical="top"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2" borderId="5" xfId="0" applyFont="1" applyFill="1" applyBorder="1" applyAlignment="1">
      <alignment horizontal="right" vertical="center"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2" borderId="0" xfId="0" applyFont="1" applyFill="1" applyAlignment="1">
      <alignment horizontal="right" vertical="top" wrapText="1"/>
    </xf>
    <xf numFmtId="0" fontId="2" fillId="2" borderId="5" xfId="0" applyFont="1" applyFill="1" applyBorder="1" applyAlignment="1">
      <alignment horizontal="right"/>
    </xf>
    <xf numFmtId="0" fontId="2" fillId="2" borderId="6" xfId="0" applyFont="1" applyFill="1" applyBorder="1" applyAlignment="1">
      <alignment horizontal="right"/>
    </xf>
    <xf numFmtId="0" fontId="2" fillId="0" borderId="19" xfId="0" applyFont="1" applyBorder="1" applyAlignment="1">
      <alignment horizontal="right" vertical="center" wrapText="1"/>
    </xf>
    <xf numFmtId="0" fontId="2" fillId="0" borderId="0" xfId="0" applyFont="1" applyAlignment="1">
      <alignment horizontal="right" vertical="center" wrapText="1"/>
    </xf>
    <xf numFmtId="0" fontId="2" fillId="0" borderId="17" xfId="0" applyFont="1" applyBorder="1" applyAlignment="1">
      <alignment horizontal="right"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xf>
    <xf numFmtId="0" fontId="1" fillId="0" borderId="4" xfId="0" applyFont="1" applyBorder="1" applyAlignment="1">
      <alignment horizontal="left" vertical="top"/>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2" borderId="5" xfId="0" applyFont="1" applyFill="1" applyBorder="1" applyAlignment="1">
      <alignment horizontal="right" vertical="center"/>
    </xf>
    <xf numFmtId="0" fontId="2" fillId="2" borderId="6" xfId="0" applyFont="1" applyFill="1" applyBorder="1" applyAlignment="1">
      <alignment horizontal="right" vertical="center"/>
    </xf>
    <xf numFmtId="43" fontId="1" fillId="4" borderId="1" xfId="1" applyFont="1" applyFill="1" applyBorder="1" applyAlignment="1">
      <alignment horizontal="center" vertical="center" wrapText="1"/>
    </xf>
    <xf numFmtId="164" fontId="1" fillId="4" borderId="1" xfId="0" applyNumberFormat="1" applyFont="1" applyFill="1" applyBorder="1" applyAlignment="1">
      <alignment horizontal="center" vertical="center"/>
    </xf>
    <xf numFmtId="164" fontId="1" fillId="4" borderId="1" xfId="0" applyNumberFormat="1" applyFont="1" applyFill="1" applyBorder="1" applyAlignment="1">
      <alignment horizontal="center" vertical="center" wrapText="1"/>
    </xf>
    <xf numFmtId="164" fontId="1" fillId="4" borderId="13" xfId="0" applyNumberFormat="1" applyFont="1" applyFill="1" applyBorder="1" applyAlignment="1">
      <alignment horizontal="center" vertical="center"/>
    </xf>
    <xf numFmtId="164" fontId="1" fillId="4" borderId="1" xfId="0" applyNumberFormat="1" applyFont="1" applyFill="1" applyBorder="1" applyAlignment="1">
      <alignment horizontal="right" vertical="center"/>
    </xf>
  </cellXfs>
  <cellStyles count="3">
    <cellStyle name="Comma" xfId="1" builtinId="3"/>
    <cellStyle name="Comma 2 2" xfId="2" xr:uid="{EA3C1144-1224-444C-85A2-80C915E353EC}"/>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0070C0"/>
  </sheetPr>
  <dimension ref="A1:M438"/>
  <sheetViews>
    <sheetView tabSelected="1" topLeftCell="A44" zoomScale="72" zoomScaleNormal="100" workbookViewId="0">
      <selection activeCell="K10" sqref="K10"/>
    </sheetView>
  </sheetViews>
  <sheetFormatPr defaultColWidth="9.109375" defaultRowHeight="15.6" x14ac:dyDescent="0.3"/>
  <cols>
    <col min="1" max="1" width="6.5546875" style="2" customWidth="1"/>
    <col min="2" max="2" width="74.33203125" style="2" customWidth="1"/>
    <col min="3" max="3" width="9.109375" style="2"/>
    <col min="4" max="4" width="9.88671875" style="2" bestFit="1" customWidth="1"/>
    <col min="5" max="5" width="12.21875" style="2" customWidth="1"/>
    <col min="6" max="6" width="21.109375" style="2" customWidth="1"/>
    <col min="7" max="7" width="12.33203125" style="2" customWidth="1"/>
    <col min="8" max="8" width="13.44140625" style="2" customWidth="1"/>
    <col min="9" max="16384" width="9.109375" style="2"/>
  </cols>
  <sheetData>
    <row r="1" spans="1:8" ht="35.4" customHeight="1" x14ac:dyDescent="0.3">
      <c r="A1" s="68" t="s">
        <v>101</v>
      </c>
      <c r="B1" s="68"/>
      <c r="C1" s="150" t="s">
        <v>98</v>
      </c>
      <c r="D1" s="151"/>
      <c r="E1" s="151"/>
      <c r="F1" s="151"/>
      <c r="G1" s="151"/>
      <c r="H1" s="152"/>
    </row>
    <row r="2" spans="1:8" ht="30.6" customHeight="1" x14ac:dyDescent="0.3">
      <c r="A2" s="68" t="s">
        <v>106</v>
      </c>
      <c r="B2" s="68"/>
      <c r="C2" s="150" t="s">
        <v>94</v>
      </c>
      <c r="D2" s="151"/>
      <c r="E2" s="151"/>
      <c r="F2" s="151"/>
      <c r="G2" s="151"/>
      <c r="H2" s="152"/>
    </row>
    <row r="3" spans="1:8" ht="21.6" customHeight="1" x14ac:dyDescent="0.3">
      <c r="A3" s="68" t="s">
        <v>88</v>
      </c>
      <c r="B3" s="68"/>
      <c r="C3" s="153" t="s">
        <v>95</v>
      </c>
      <c r="D3" s="154"/>
      <c r="E3" s="154"/>
      <c r="F3" s="154"/>
      <c r="G3" s="154"/>
      <c r="H3" s="155"/>
    </row>
    <row r="4" spans="1:8" ht="19.8" customHeight="1" x14ac:dyDescent="0.3">
      <c r="A4" s="68" t="s">
        <v>89</v>
      </c>
      <c r="B4" s="68"/>
      <c r="C4" s="156" t="s">
        <v>96</v>
      </c>
      <c r="D4" s="157"/>
      <c r="E4" s="157"/>
      <c r="F4" s="157"/>
      <c r="G4" s="157"/>
      <c r="H4" s="158"/>
    </row>
    <row r="5" spans="1:8" ht="18" customHeight="1" x14ac:dyDescent="0.3">
      <c r="A5" s="122" t="s">
        <v>90</v>
      </c>
      <c r="B5" s="123"/>
      <c r="C5" s="153" t="s">
        <v>92</v>
      </c>
      <c r="D5" s="154"/>
      <c r="E5" s="154"/>
      <c r="F5" s="154"/>
      <c r="G5" s="154"/>
      <c r="H5" s="155"/>
    </row>
    <row r="6" spans="1:8" ht="19.8" customHeight="1" thickBot="1" x14ac:dyDescent="0.35">
      <c r="A6" s="122" t="s">
        <v>91</v>
      </c>
      <c r="B6" s="123"/>
      <c r="C6" s="124" t="s">
        <v>93</v>
      </c>
      <c r="D6" s="125"/>
      <c r="E6" s="125"/>
      <c r="F6" s="125"/>
      <c r="G6" s="125"/>
      <c r="H6" s="126"/>
    </row>
    <row r="7" spans="1:8" ht="16.2" thickBot="1" x14ac:dyDescent="0.35"/>
    <row r="8" spans="1:8" ht="39.9" customHeight="1" thickBot="1" x14ac:dyDescent="0.35">
      <c r="A8" s="31"/>
      <c r="B8" s="161" t="s">
        <v>81</v>
      </c>
      <c r="C8" s="162"/>
      <c r="D8" s="162"/>
      <c r="E8" s="162"/>
      <c r="F8" s="163"/>
    </row>
    <row r="9" spans="1:8" ht="20.100000000000001" customHeight="1" thickBot="1" x14ac:dyDescent="0.35">
      <c r="A9"/>
      <c r="B9" s="172" t="s">
        <v>79</v>
      </c>
      <c r="C9" s="172"/>
      <c r="D9" s="172"/>
      <c r="E9" s="172"/>
      <c r="F9" s="172"/>
    </row>
    <row r="10" spans="1:8" ht="39" customHeight="1" thickBot="1" x14ac:dyDescent="0.35">
      <c r="A10" s="15" t="s">
        <v>9</v>
      </c>
      <c r="B10" s="164" t="s">
        <v>0</v>
      </c>
      <c r="C10" s="165"/>
      <c r="D10" s="165"/>
      <c r="E10" s="165"/>
      <c r="F10" s="166"/>
      <c r="G10" s="127" t="s">
        <v>97</v>
      </c>
      <c r="H10" s="128"/>
    </row>
    <row r="11" spans="1:8" ht="40.5" customHeight="1" thickBot="1" x14ac:dyDescent="0.35">
      <c r="A11" s="1" t="s">
        <v>2</v>
      </c>
      <c r="B11" s="1" t="s">
        <v>1</v>
      </c>
      <c r="C11" s="1" t="s">
        <v>3</v>
      </c>
      <c r="D11" s="1" t="s">
        <v>4</v>
      </c>
      <c r="E11" s="67" t="s">
        <v>85</v>
      </c>
      <c r="F11" s="67" t="s">
        <v>86</v>
      </c>
      <c r="G11" s="23" t="s">
        <v>4</v>
      </c>
      <c r="H11" s="69" t="s">
        <v>6</v>
      </c>
    </row>
    <row r="12" spans="1:8" ht="120" customHeight="1" thickBot="1" x14ac:dyDescent="0.35">
      <c r="A12" s="167"/>
      <c r="B12" s="169" t="s">
        <v>7</v>
      </c>
      <c r="C12" s="170"/>
      <c r="D12" s="170"/>
      <c r="E12" s="170"/>
      <c r="F12" s="171"/>
      <c r="G12" s="77"/>
      <c r="H12" s="71"/>
    </row>
    <row r="13" spans="1:8" ht="32.25" customHeight="1" thickBot="1" x14ac:dyDescent="0.35">
      <c r="A13" s="168"/>
      <c r="B13" s="169" t="s">
        <v>8</v>
      </c>
      <c r="C13" s="170"/>
      <c r="D13" s="170"/>
      <c r="E13" s="170"/>
      <c r="F13" s="171"/>
      <c r="G13" s="75"/>
      <c r="H13" s="73"/>
    </row>
    <row r="14" spans="1:8" ht="36" customHeight="1" thickBot="1" x14ac:dyDescent="0.35">
      <c r="A14" s="26">
        <v>1.1000000000000001</v>
      </c>
      <c r="B14" s="20" t="s">
        <v>22</v>
      </c>
      <c r="C14" s="4" t="s">
        <v>14</v>
      </c>
      <c r="D14" s="25">
        <v>1</v>
      </c>
      <c r="E14" s="27">
        <v>50</v>
      </c>
      <c r="F14" s="28">
        <f>D14*E14</f>
        <v>50</v>
      </c>
      <c r="G14" s="70">
        <v>1</v>
      </c>
      <c r="H14" s="197">
        <f>G14*E14</f>
        <v>50</v>
      </c>
    </row>
    <row r="15" spans="1:8" ht="122.25" customHeight="1" thickBot="1" x14ac:dyDescent="0.35">
      <c r="A15" s="23">
        <v>1.2</v>
      </c>
      <c r="B15" s="20" t="s">
        <v>41</v>
      </c>
      <c r="C15" s="4" t="s">
        <v>14</v>
      </c>
      <c r="D15" s="25">
        <v>1</v>
      </c>
      <c r="E15" s="27">
        <v>25</v>
      </c>
      <c r="F15" s="28">
        <f t="shared" ref="F15:F16" si="0">D15*E15</f>
        <v>25</v>
      </c>
      <c r="G15" s="25">
        <v>1</v>
      </c>
      <c r="H15" s="197">
        <f t="shared" ref="H15:H16" si="1">G15*E15</f>
        <v>25</v>
      </c>
    </row>
    <row r="16" spans="1:8" ht="105" customHeight="1" thickBot="1" x14ac:dyDescent="0.35">
      <c r="A16" s="23">
        <v>1.3</v>
      </c>
      <c r="B16" s="21" t="s">
        <v>43</v>
      </c>
      <c r="C16" s="22" t="s">
        <v>14</v>
      </c>
      <c r="D16" s="25">
        <v>1</v>
      </c>
      <c r="E16" s="27">
        <v>25</v>
      </c>
      <c r="F16" s="28">
        <f t="shared" si="0"/>
        <v>25</v>
      </c>
      <c r="G16" s="25">
        <v>1</v>
      </c>
      <c r="H16" s="197">
        <f t="shared" si="1"/>
        <v>25</v>
      </c>
    </row>
    <row r="17" spans="1:13" ht="20.100000000000001" customHeight="1" thickBot="1" x14ac:dyDescent="0.35">
      <c r="A17" s="11"/>
      <c r="B17" s="173" t="s">
        <v>21</v>
      </c>
      <c r="C17" s="173"/>
      <c r="D17" s="173"/>
      <c r="E17" s="173"/>
      <c r="F17" s="19">
        <f>SUM(F14:F16)</f>
        <v>100</v>
      </c>
      <c r="G17" s="72"/>
      <c r="H17" s="19">
        <f>SUM(H14:H16)</f>
        <v>100</v>
      </c>
    </row>
    <row r="18" spans="1:13" ht="20.100000000000001" customHeight="1" thickBot="1" x14ac:dyDescent="0.35">
      <c r="A18" s="178"/>
      <c r="B18" s="178"/>
      <c r="C18" s="178"/>
      <c r="D18" s="178"/>
      <c r="E18" s="178"/>
      <c r="F18" s="179"/>
      <c r="G18" s="74"/>
      <c r="H18" s="76"/>
    </row>
    <row r="19" spans="1:13" customFormat="1" ht="20.100000000000001" customHeight="1" thickBot="1" x14ac:dyDescent="0.35">
      <c r="A19" s="17" t="s">
        <v>10</v>
      </c>
      <c r="B19" s="174" t="s">
        <v>11</v>
      </c>
      <c r="C19" s="175"/>
      <c r="D19" s="175"/>
      <c r="E19" s="175"/>
      <c r="F19" s="176"/>
      <c r="H19" s="79"/>
    </row>
    <row r="20" spans="1:13" customFormat="1" ht="43.5" customHeight="1" thickBot="1" x14ac:dyDescent="0.35">
      <c r="A20" s="23" t="s">
        <v>2</v>
      </c>
      <c r="B20" s="23" t="s">
        <v>1</v>
      </c>
      <c r="C20" s="23" t="s">
        <v>3</v>
      </c>
      <c r="D20" s="23" t="s">
        <v>4</v>
      </c>
      <c r="E20" s="67" t="s">
        <v>85</v>
      </c>
      <c r="F20" s="67" t="s">
        <v>86</v>
      </c>
      <c r="H20" s="80"/>
    </row>
    <row r="21" spans="1:13" customFormat="1" ht="94.5" customHeight="1" thickBot="1" x14ac:dyDescent="0.35">
      <c r="A21" s="4">
        <v>2.1</v>
      </c>
      <c r="B21" s="21" t="s">
        <v>82</v>
      </c>
      <c r="C21" s="23" t="s">
        <v>14</v>
      </c>
      <c r="D21" s="24">
        <v>1</v>
      </c>
      <c r="E21" s="24">
        <v>100</v>
      </c>
      <c r="F21" s="5">
        <f>D21*E21</f>
        <v>100</v>
      </c>
      <c r="G21" s="24">
        <v>1</v>
      </c>
      <c r="H21" s="198">
        <f>G21*E21</f>
        <v>100</v>
      </c>
    </row>
    <row r="22" spans="1:13" customFormat="1" ht="68.25" customHeight="1" thickBot="1" x14ac:dyDescent="0.35">
      <c r="A22" s="4">
        <v>2.2000000000000002</v>
      </c>
      <c r="B22" s="21" t="s">
        <v>46</v>
      </c>
      <c r="C22" s="23" t="s">
        <v>13</v>
      </c>
      <c r="D22" s="24">
        <v>20</v>
      </c>
      <c r="E22" s="24">
        <v>5</v>
      </c>
      <c r="F22" s="5">
        <f t="shared" ref="F22:F24" si="2">D22*E22</f>
        <v>100</v>
      </c>
      <c r="G22" s="24">
        <v>20</v>
      </c>
      <c r="H22" s="198">
        <f t="shared" ref="H22:H24" si="3">G22*E22</f>
        <v>100</v>
      </c>
    </row>
    <row r="23" spans="1:13" customFormat="1" ht="105" customHeight="1" thickBot="1" x14ac:dyDescent="0.35">
      <c r="A23" s="4">
        <v>2.2999999999999998</v>
      </c>
      <c r="B23" s="21" t="s">
        <v>83</v>
      </c>
      <c r="C23" s="23" t="s">
        <v>13</v>
      </c>
      <c r="D23" s="24">
        <v>25</v>
      </c>
      <c r="E23" s="24">
        <v>2</v>
      </c>
      <c r="F23" s="5">
        <f t="shared" si="2"/>
        <v>50</v>
      </c>
      <c r="G23" s="24">
        <v>25</v>
      </c>
      <c r="H23" s="198">
        <f t="shared" si="3"/>
        <v>50</v>
      </c>
    </row>
    <row r="24" spans="1:13" customFormat="1" ht="80.25" customHeight="1" thickBot="1" x14ac:dyDescent="0.35">
      <c r="A24" s="4">
        <v>2.4</v>
      </c>
      <c r="B24" s="21" t="s">
        <v>84</v>
      </c>
      <c r="C24" s="23" t="s">
        <v>13</v>
      </c>
      <c r="D24" s="24">
        <v>20</v>
      </c>
      <c r="E24" s="24">
        <v>5</v>
      </c>
      <c r="F24" s="5">
        <f t="shared" si="2"/>
        <v>100</v>
      </c>
      <c r="G24" s="24">
        <v>20</v>
      </c>
      <c r="H24" s="198">
        <f t="shared" si="3"/>
        <v>100</v>
      </c>
    </row>
    <row r="25" spans="1:13" customFormat="1" ht="20.100000000000001" customHeight="1" thickBot="1" x14ac:dyDescent="0.35">
      <c r="A25" s="6"/>
      <c r="B25" s="177" t="s">
        <v>12</v>
      </c>
      <c r="C25" s="177"/>
      <c r="D25" s="177"/>
      <c r="E25" s="177"/>
      <c r="F25" s="16">
        <f>SUM(F21:F24)</f>
        <v>350</v>
      </c>
      <c r="H25" s="16">
        <f>SUM(H21:H24)</f>
        <v>350</v>
      </c>
    </row>
    <row r="26" spans="1:13" ht="20.100000000000001" customHeight="1" thickBot="1" x14ac:dyDescent="0.35">
      <c r="A26" s="32"/>
      <c r="B26" s="32"/>
      <c r="C26" s="32"/>
      <c r="D26" s="32"/>
      <c r="E26" s="32"/>
      <c r="F26" s="32"/>
      <c r="G26" s="82"/>
      <c r="H26" s="81"/>
    </row>
    <row r="27" spans="1:13" customFormat="1" ht="20.100000000000001" customHeight="1" thickBot="1" x14ac:dyDescent="0.35">
      <c r="A27" s="17" t="s">
        <v>18</v>
      </c>
      <c r="B27" s="180" t="s">
        <v>16</v>
      </c>
      <c r="C27" s="181"/>
      <c r="D27" s="181"/>
      <c r="E27" s="181"/>
      <c r="F27" s="182"/>
      <c r="H27" s="79"/>
    </row>
    <row r="28" spans="1:13" customFormat="1" ht="42.75" customHeight="1" thickBot="1" x14ac:dyDescent="0.35">
      <c r="A28" s="23" t="s">
        <v>2</v>
      </c>
      <c r="B28" s="23" t="s">
        <v>1</v>
      </c>
      <c r="C28" s="23" t="s">
        <v>3</v>
      </c>
      <c r="D28" s="23" t="s">
        <v>4</v>
      </c>
      <c r="E28" s="67" t="s">
        <v>85</v>
      </c>
      <c r="F28" s="67" t="s">
        <v>86</v>
      </c>
      <c r="H28" s="79"/>
    </row>
    <row r="29" spans="1:13" customFormat="1" ht="38.25" customHeight="1" thickBot="1" x14ac:dyDescent="0.35">
      <c r="A29" s="23"/>
      <c r="B29" s="169" t="s">
        <v>25</v>
      </c>
      <c r="C29" s="170"/>
      <c r="D29" s="170"/>
      <c r="E29" s="170"/>
      <c r="F29" s="171"/>
      <c r="H29" s="79"/>
    </row>
    <row r="30" spans="1:13" customFormat="1" ht="95.4" customHeight="1" thickBot="1" x14ac:dyDescent="0.35">
      <c r="A30" s="23">
        <v>4.0999999999999996</v>
      </c>
      <c r="B30" s="21" t="s">
        <v>26</v>
      </c>
      <c r="C30" s="4" t="s">
        <v>17</v>
      </c>
      <c r="D30" s="25">
        <v>1</v>
      </c>
      <c r="E30" s="25">
        <v>250</v>
      </c>
      <c r="F30" s="29">
        <f>D30*E30</f>
        <v>250</v>
      </c>
      <c r="G30" s="25">
        <v>1</v>
      </c>
      <c r="H30" s="199">
        <f>G30*E30</f>
        <v>250</v>
      </c>
      <c r="M30" s="3"/>
    </row>
    <row r="31" spans="1:13" customFormat="1" ht="20.100000000000001" customHeight="1" thickBot="1" x14ac:dyDescent="0.35">
      <c r="A31" s="30"/>
      <c r="B31" s="184" t="s">
        <v>15</v>
      </c>
      <c r="C31" s="184"/>
      <c r="D31" s="184"/>
      <c r="E31" s="185"/>
      <c r="F31" s="18">
        <f>F30</f>
        <v>250</v>
      </c>
      <c r="H31" s="18">
        <f>H30</f>
        <v>250</v>
      </c>
    </row>
    <row r="32" spans="1:13" customFormat="1" ht="20.100000000000001" customHeight="1" thickBot="1" x14ac:dyDescent="0.35">
      <c r="A32" s="11"/>
      <c r="B32" s="7"/>
      <c r="C32" s="7"/>
      <c r="D32" s="7"/>
      <c r="E32" s="7"/>
      <c r="F32" s="8"/>
      <c r="H32" s="83"/>
    </row>
    <row r="33" spans="1:8" customFormat="1" ht="20.100000000000001" customHeight="1" thickBot="1" x14ac:dyDescent="0.35">
      <c r="A33" s="15" t="s">
        <v>19</v>
      </c>
      <c r="B33" s="180" t="s">
        <v>27</v>
      </c>
      <c r="C33" s="181"/>
      <c r="D33" s="181"/>
      <c r="E33" s="181"/>
      <c r="F33" s="182"/>
      <c r="H33" s="79"/>
    </row>
    <row r="34" spans="1:8" customFormat="1" ht="50.25" customHeight="1" thickBot="1" x14ac:dyDescent="0.35">
      <c r="A34" s="23" t="s">
        <v>2</v>
      </c>
      <c r="B34" s="23" t="s">
        <v>1</v>
      </c>
      <c r="C34" s="23" t="s">
        <v>3</v>
      </c>
      <c r="D34" s="23" t="s">
        <v>4</v>
      </c>
      <c r="E34" s="67" t="s">
        <v>85</v>
      </c>
      <c r="F34" s="67" t="s">
        <v>86</v>
      </c>
      <c r="H34" s="79"/>
    </row>
    <row r="35" spans="1:8" customFormat="1" ht="232.8" customHeight="1" x14ac:dyDescent="0.3">
      <c r="A35" s="35"/>
      <c r="B35" s="147" t="s">
        <v>28</v>
      </c>
      <c r="C35" s="148"/>
      <c r="D35" s="148"/>
      <c r="E35" s="148"/>
      <c r="F35" s="149"/>
      <c r="H35" s="79"/>
    </row>
    <row r="36" spans="1:8" customFormat="1" ht="92.25" customHeight="1" x14ac:dyDescent="0.3">
      <c r="A36" s="36">
        <v>4.0999999999999996</v>
      </c>
      <c r="B36" s="65" t="s">
        <v>29</v>
      </c>
      <c r="C36" s="36" t="s">
        <v>30</v>
      </c>
      <c r="D36" s="38">
        <f>1378.65*1.1</f>
        <v>1516.5150000000003</v>
      </c>
      <c r="E36" s="38">
        <v>1.5</v>
      </c>
      <c r="F36" s="43">
        <f>D36*E36</f>
        <v>2274.7725000000005</v>
      </c>
      <c r="G36" s="38">
        <f>1378.65*1.1</f>
        <v>1516.5150000000003</v>
      </c>
      <c r="H36" s="200">
        <f>G36*E36</f>
        <v>2274.7725000000005</v>
      </c>
    </row>
    <row r="37" spans="1:8" customFormat="1" ht="109.5" customHeight="1" x14ac:dyDescent="0.3">
      <c r="A37" s="36">
        <v>4.2</v>
      </c>
      <c r="B37" s="65" t="s">
        <v>33</v>
      </c>
      <c r="C37" s="36" t="s">
        <v>13</v>
      </c>
      <c r="D37" s="38">
        <v>53.64</v>
      </c>
      <c r="E37" s="38">
        <v>25</v>
      </c>
      <c r="F37" s="43">
        <f t="shared" ref="F37:F39" si="4">D37*E37</f>
        <v>1341</v>
      </c>
      <c r="G37" s="38">
        <v>53.64</v>
      </c>
      <c r="H37" s="200">
        <f t="shared" ref="H37:H39" si="5">G37*E37</f>
        <v>1341</v>
      </c>
    </row>
    <row r="38" spans="1:8" customFormat="1" ht="94.5" customHeight="1" x14ac:dyDescent="0.3">
      <c r="A38" s="36">
        <v>4.3</v>
      </c>
      <c r="B38" s="65" t="s">
        <v>44</v>
      </c>
      <c r="C38" s="36" t="s">
        <v>32</v>
      </c>
      <c r="D38" s="38">
        <v>8</v>
      </c>
      <c r="E38" s="38">
        <v>150</v>
      </c>
      <c r="F38" s="43">
        <f t="shared" si="4"/>
        <v>1200</v>
      </c>
      <c r="G38" s="38">
        <v>8</v>
      </c>
      <c r="H38" s="200">
        <f t="shared" si="5"/>
        <v>1200</v>
      </c>
    </row>
    <row r="39" spans="1:8" customFormat="1" ht="93" customHeight="1" x14ac:dyDescent="0.3">
      <c r="A39" s="36">
        <v>4.4000000000000004</v>
      </c>
      <c r="B39" s="65" t="s">
        <v>45</v>
      </c>
      <c r="C39" s="36" t="s">
        <v>36</v>
      </c>
      <c r="D39" s="38">
        <v>1</v>
      </c>
      <c r="E39" s="38">
        <v>250</v>
      </c>
      <c r="F39" s="43">
        <f t="shared" si="4"/>
        <v>250</v>
      </c>
      <c r="G39" s="38">
        <v>1</v>
      </c>
      <c r="H39" s="200">
        <f t="shared" si="5"/>
        <v>250</v>
      </c>
    </row>
    <row r="40" spans="1:8" customFormat="1" ht="19.95" customHeight="1" thickBot="1" x14ac:dyDescent="0.35">
      <c r="A40" s="12"/>
      <c r="B40" s="183" t="s">
        <v>31</v>
      </c>
      <c r="C40" s="183"/>
      <c r="D40" s="183"/>
      <c r="E40" s="183"/>
      <c r="F40" s="42">
        <f>SUM(F36:F39)</f>
        <v>5065.7725000000009</v>
      </c>
      <c r="H40" s="42">
        <f>SUM(H36:H39)</f>
        <v>5065.7725000000009</v>
      </c>
    </row>
    <row r="41" spans="1:8" customFormat="1" ht="19.95" customHeight="1" thickBot="1" x14ac:dyDescent="0.35">
      <c r="A41" s="11"/>
      <c r="B41" s="7"/>
      <c r="C41" s="33"/>
      <c r="D41" s="10"/>
      <c r="E41" s="10"/>
      <c r="F41" s="9"/>
      <c r="G41" s="78"/>
      <c r="H41" s="83"/>
    </row>
    <row r="42" spans="1:8" ht="19.95" customHeight="1" thickBot="1" x14ac:dyDescent="0.35">
      <c r="A42" s="14" t="s">
        <v>20</v>
      </c>
      <c r="B42" s="174" t="s">
        <v>23</v>
      </c>
      <c r="C42" s="175"/>
      <c r="D42" s="175"/>
      <c r="E42" s="175"/>
      <c r="F42" s="176"/>
      <c r="H42" s="84"/>
    </row>
    <row r="43" spans="1:8" ht="19.95" customHeight="1" thickBot="1" x14ac:dyDescent="0.35">
      <c r="A43" s="23" t="s">
        <v>2</v>
      </c>
      <c r="B43" s="23" t="s">
        <v>1</v>
      </c>
      <c r="C43" s="23" t="s">
        <v>3</v>
      </c>
      <c r="D43" s="23" t="s">
        <v>4</v>
      </c>
      <c r="E43" s="23" t="s">
        <v>5</v>
      </c>
      <c r="F43" s="23" t="s">
        <v>6</v>
      </c>
      <c r="H43" s="84"/>
    </row>
    <row r="44" spans="1:8" ht="69.599999999999994" thickBot="1" x14ac:dyDescent="0.35">
      <c r="A44" s="23">
        <v>5.0999999999999996</v>
      </c>
      <c r="B44" s="21" t="s">
        <v>47</v>
      </c>
      <c r="C44" s="23" t="s">
        <v>13</v>
      </c>
      <c r="D44" s="24">
        <v>16.5</v>
      </c>
      <c r="E44" s="24">
        <v>16</v>
      </c>
      <c r="F44" s="44">
        <f>D44*E44</f>
        <v>264</v>
      </c>
      <c r="G44" s="24">
        <v>16.5</v>
      </c>
      <c r="H44" s="201">
        <f>G44*E44</f>
        <v>264</v>
      </c>
    </row>
    <row r="45" spans="1:8" ht="56.4" thickBot="1" x14ac:dyDescent="0.35">
      <c r="A45" s="23">
        <v>5.2</v>
      </c>
      <c r="B45" s="21" t="s">
        <v>48</v>
      </c>
      <c r="C45" s="4" t="s">
        <v>34</v>
      </c>
      <c r="D45" s="25">
        <v>5</v>
      </c>
      <c r="E45" s="25">
        <v>30</v>
      </c>
      <c r="F45" s="44">
        <f t="shared" ref="F45:F57" si="6">D45*E45</f>
        <v>150</v>
      </c>
      <c r="G45" s="25">
        <v>5</v>
      </c>
      <c r="H45" s="201">
        <f t="shared" ref="H45:H57" si="7">G45*E45</f>
        <v>150</v>
      </c>
    </row>
    <row r="46" spans="1:8" ht="97.2" thickBot="1" x14ac:dyDescent="0.35">
      <c r="A46" s="23">
        <v>5.3</v>
      </c>
      <c r="B46" s="21" t="s">
        <v>49</v>
      </c>
      <c r="C46" s="4" t="s">
        <v>35</v>
      </c>
      <c r="D46" s="25">
        <v>10</v>
      </c>
      <c r="E46" s="25">
        <v>65</v>
      </c>
      <c r="F46" s="44">
        <f t="shared" si="6"/>
        <v>650</v>
      </c>
      <c r="G46" s="25">
        <v>10</v>
      </c>
      <c r="H46" s="201">
        <f t="shared" si="7"/>
        <v>650</v>
      </c>
    </row>
    <row r="47" spans="1:8" ht="33" customHeight="1" thickBot="1" x14ac:dyDescent="0.35">
      <c r="A47" s="23">
        <v>5.4</v>
      </c>
      <c r="B47" s="21" t="s">
        <v>39</v>
      </c>
      <c r="C47" s="4" t="s">
        <v>36</v>
      </c>
      <c r="D47" s="25">
        <v>6</v>
      </c>
      <c r="E47" s="25">
        <v>95</v>
      </c>
      <c r="F47" s="44">
        <f t="shared" si="6"/>
        <v>570</v>
      </c>
      <c r="G47" s="25">
        <v>6</v>
      </c>
      <c r="H47" s="201">
        <f t="shared" si="7"/>
        <v>570</v>
      </c>
    </row>
    <row r="48" spans="1:8" ht="69.599999999999994" thickBot="1" x14ac:dyDescent="0.35">
      <c r="A48" s="23">
        <v>5.5</v>
      </c>
      <c r="B48" s="21" t="s">
        <v>40</v>
      </c>
      <c r="C48" s="4" t="s">
        <v>17</v>
      </c>
      <c r="D48" s="25">
        <v>6</v>
      </c>
      <c r="E48" s="25">
        <v>52</v>
      </c>
      <c r="F48" s="44">
        <f t="shared" si="6"/>
        <v>312</v>
      </c>
      <c r="G48" s="25">
        <v>6</v>
      </c>
      <c r="H48" s="201">
        <f t="shared" si="7"/>
        <v>312</v>
      </c>
    </row>
    <row r="49" spans="1:8" ht="58.5" customHeight="1" thickBot="1" x14ac:dyDescent="0.35">
      <c r="A49" s="23">
        <v>5.6</v>
      </c>
      <c r="B49" s="21" t="s">
        <v>74</v>
      </c>
      <c r="C49" s="4" t="s">
        <v>14</v>
      </c>
      <c r="D49" s="25">
        <v>1</v>
      </c>
      <c r="E49" s="25">
        <v>50</v>
      </c>
      <c r="F49" s="44">
        <f t="shared" si="6"/>
        <v>50</v>
      </c>
      <c r="G49" s="25">
        <v>1</v>
      </c>
      <c r="H49" s="201">
        <f t="shared" si="7"/>
        <v>50</v>
      </c>
    </row>
    <row r="50" spans="1:8" ht="46.5" customHeight="1" thickBot="1" x14ac:dyDescent="0.35">
      <c r="A50" s="23">
        <v>5.7</v>
      </c>
      <c r="B50" s="21" t="s">
        <v>37</v>
      </c>
      <c r="C50" s="4" t="s">
        <v>36</v>
      </c>
      <c r="D50" s="25">
        <v>4</v>
      </c>
      <c r="E50" s="25">
        <v>30</v>
      </c>
      <c r="F50" s="44">
        <f t="shared" si="6"/>
        <v>120</v>
      </c>
      <c r="G50" s="25">
        <v>4</v>
      </c>
      <c r="H50" s="201">
        <f t="shared" si="7"/>
        <v>120</v>
      </c>
    </row>
    <row r="51" spans="1:8" ht="45.75" customHeight="1" thickBot="1" x14ac:dyDescent="0.35">
      <c r="A51" s="23">
        <v>5.8</v>
      </c>
      <c r="B51" s="21" t="s">
        <v>38</v>
      </c>
      <c r="C51" s="4" t="s">
        <v>36</v>
      </c>
      <c r="D51" s="25">
        <v>3</v>
      </c>
      <c r="E51" s="25">
        <v>10</v>
      </c>
      <c r="F51" s="44">
        <f t="shared" si="6"/>
        <v>30</v>
      </c>
      <c r="G51" s="25">
        <v>3</v>
      </c>
      <c r="H51" s="201">
        <f t="shared" si="7"/>
        <v>30</v>
      </c>
    </row>
    <row r="52" spans="1:8" ht="84.6" customHeight="1" thickBot="1" x14ac:dyDescent="0.35">
      <c r="A52" s="23">
        <v>5.9</v>
      </c>
      <c r="B52" s="21" t="s">
        <v>42</v>
      </c>
      <c r="C52" s="4" t="s">
        <v>14</v>
      </c>
      <c r="D52" s="25">
        <v>1</v>
      </c>
      <c r="E52" s="25">
        <v>350</v>
      </c>
      <c r="F52" s="44">
        <f t="shared" si="6"/>
        <v>350</v>
      </c>
      <c r="G52" s="25">
        <v>1</v>
      </c>
      <c r="H52" s="201">
        <f t="shared" si="7"/>
        <v>350</v>
      </c>
    </row>
    <row r="53" spans="1:8" ht="67.5" customHeight="1" thickBot="1" x14ac:dyDescent="0.35">
      <c r="A53" s="24">
        <v>5.0999999999999996</v>
      </c>
      <c r="B53" s="21" t="s">
        <v>72</v>
      </c>
      <c r="C53" s="4" t="s">
        <v>13</v>
      </c>
      <c r="D53" s="60">
        <f>40*1.62</f>
        <v>64.800000000000011</v>
      </c>
      <c r="E53" s="25">
        <v>12</v>
      </c>
      <c r="F53" s="44">
        <f t="shared" si="6"/>
        <v>777.60000000000014</v>
      </c>
      <c r="G53" s="60">
        <f>40*1.62</f>
        <v>64.800000000000011</v>
      </c>
      <c r="H53" s="201">
        <f t="shared" si="7"/>
        <v>777.60000000000014</v>
      </c>
    </row>
    <row r="54" spans="1:8" ht="44.4" customHeight="1" thickBot="1" x14ac:dyDescent="0.35">
      <c r="A54" s="24">
        <v>5.1100000000000003</v>
      </c>
      <c r="B54" s="21" t="s">
        <v>71</v>
      </c>
      <c r="C54" s="4" t="s">
        <v>13</v>
      </c>
      <c r="D54" s="25">
        <v>55</v>
      </c>
      <c r="E54" s="25">
        <v>1.5</v>
      </c>
      <c r="F54" s="44">
        <f t="shared" si="6"/>
        <v>82.5</v>
      </c>
      <c r="G54" s="25">
        <v>55</v>
      </c>
      <c r="H54" s="201">
        <f t="shared" si="7"/>
        <v>82.5</v>
      </c>
    </row>
    <row r="55" spans="1:8" ht="29.25" customHeight="1" thickBot="1" x14ac:dyDescent="0.35">
      <c r="A55" s="24">
        <v>5.1210000000000004</v>
      </c>
      <c r="B55" s="21" t="s">
        <v>50</v>
      </c>
      <c r="C55" s="4" t="s">
        <v>13</v>
      </c>
      <c r="D55" s="25">
        <v>325</v>
      </c>
      <c r="E55" s="25">
        <v>1.5</v>
      </c>
      <c r="F55" s="44">
        <f t="shared" si="6"/>
        <v>487.5</v>
      </c>
      <c r="G55" s="25">
        <v>325</v>
      </c>
      <c r="H55" s="201">
        <f t="shared" si="7"/>
        <v>487.5</v>
      </c>
    </row>
    <row r="56" spans="1:8" ht="35.4" customHeight="1" thickBot="1" x14ac:dyDescent="0.35">
      <c r="A56" s="24">
        <v>5.13</v>
      </c>
      <c r="B56" s="21" t="s">
        <v>70</v>
      </c>
      <c r="C56" s="4" t="s">
        <v>13</v>
      </c>
      <c r="D56" s="25">
        <v>35</v>
      </c>
      <c r="E56" s="25">
        <v>18</v>
      </c>
      <c r="F56" s="44">
        <f t="shared" si="6"/>
        <v>630</v>
      </c>
      <c r="G56" s="25">
        <v>35</v>
      </c>
      <c r="H56" s="201">
        <f t="shared" si="7"/>
        <v>630</v>
      </c>
    </row>
    <row r="57" spans="1:8" ht="28.2" thickBot="1" x14ac:dyDescent="0.35">
      <c r="A57" s="23">
        <v>5.14</v>
      </c>
      <c r="B57" s="21" t="s">
        <v>69</v>
      </c>
      <c r="C57" s="4" t="s">
        <v>14</v>
      </c>
      <c r="D57" s="25">
        <v>1</v>
      </c>
      <c r="E57" s="25">
        <v>50</v>
      </c>
      <c r="F57" s="44">
        <f t="shared" si="6"/>
        <v>50</v>
      </c>
      <c r="G57" s="25">
        <v>1</v>
      </c>
      <c r="H57" s="201">
        <f t="shared" si="7"/>
        <v>50</v>
      </c>
    </row>
    <row r="58" spans="1:8" ht="19.95" customHeight="1" thickBot="1" x14ac:dyDescent="0.35">
      <c r="A58" s="11"/>
      <c r="B58" s="184" t="s">
        <v>24</v>
      </c>
      <c r="C58" s="184"/>
      <c r="D58" s="184"/>
      <c r="E58" s="185"/>
      <c r="F58" s="13">
        <f>SUM(F44:F57)</f>
        <v>4523.6000000000004</v>
      </c>
      <c r="H58" s="13">
        <f>SUM(H44:H57)</f>
        <v>4523.6000000000004</v>
      </c>
    </row>
    <row r="59" spans="1:8" ht="19.95" customHeight="1" x14ac:dyDescent="0.3">
      <c r="A59" s="11"/>
      <c r="B59" s="7"/>
      <c r="C59" s="7"/>
      <c r="D59" s="7"/>
      <c r="E59" s="7"/>
      <c r="F59" s="47"/>
      <c r="G59" s="82"/>
      <c r="H59" s="81"/>
    </row>
    <row r="60" spans="1:8" ht="19.95" customHeight="1" thickBot="1" x14ac:dyDescent="0.35">
      <c r="A60" s="48" t="s">
        <v>51</v>
      </c>
      <c r="B60" s="192" t="s">
        <v>52</v>
      </c>
      <c r="C60" s="193"/>
      <c r="D60" s="193"/>
      <c r="E60" s="193"/>
      <c r="F60" s="194"/>
      <c r="H60" s="84"/>
    </row>
    <row r="61" spans="1:8" ht="44.25" customHeight="1" thickBot="1" x14ac:dyDescent="0.35">
      <c r="A61" s="35" t="s">
        <v>2</v>
      </c>
      <c r="B61" s="35" t="s">
        <v>1</v>
      </c>
      <c r="C61" s="35" t="s">
        <v>3</v>
      </c>
      <c r="D61" s="35" t="s">
        <v>4</v>
      </c>
      <c r="E61" s="67" t="s">
        <v>85</v>
      </c>
      <c r="F61" s="67" t="s">
        <v>86</v>
      </c>
      <c r="H61" s="84"/>
    </row>
    <row r="62" spans="1:8" ht="127.2" customHeight="1" thickBot="1" x14ac:dyDescent="0.35">
      <c r="A62" s="1"/>
      <c r="B62" s="189" t="s">
        <v>7</v>
      </c>
      <c r="C62" s="190"/>
      <c r="D62" s="190"/>
      <c r="E62" s="190"/>
      <c r="F62" s="191"/>
      <c r="H62" s="84"/>
    </row>
    <row r="63" spans="1:8" ht="91.5" customHeight="1" thickBot="1" x14ac:dyDescent="0.35">
      <c r="A63" s="23">
        <v>1.2</v>
      </c>
      <c r="B63" s="21" t="s">
        <v>73</v>
      </c>
      <c r="C63" s="4" t="s">
        <v>64</v>
      </c>
      <c r="D63" s="25">
        <v>1</v>
      </c>
      <c r="E63" s="25">
        <v>25</v>
      </c>
      <c r="F63" s="61">
        <f>D63*E63</f>
        <v>25</v>
      </c>
      <c r="G63" s="25">
        <v>1</v>
      </c>
      <c r="H63" s="199">
        <f>G63*E63</f>
        <v>25</v>
      </c>
    </row>
    <row r="64" spans="1:8" ht="83.4" thickBot="1" x14ac:dyDescent="0.35">
      <c r="A64" s="35">
        <v>6.1</v>
      </c>
      <c r="B64" s="21" t="s">
        <v>56</v>
      </c>
      <c r="C64" s="23" t="s">
        <v>14</v>
      </c>
      <c r="D64" s="23">
        <v>1</v>
      </c>
      <c r="E64" s="24">
        <v>25</v>
      </c>
      <c r="F64" s="61">
        <f t="shared" ref="F64:F67" si="8">D64*E64</f>
        <v>25</v>
      </c>
      <c r="G64" s="23">
        <v>1</v>
      </c>
      <c r="H64" s="199">
        <f t="shared" ref="H64:H67" si="9">G64*E64</f>
        <v>25</v>
      </c>
    </row>
    <row r="65" spans="1:8" ht="76.2" customHeight="1" thickBot="1" x14ac:dyDescent="0.35">
      <c r="A65" s="35">
        <v>6.2</v>
      </c>
      <c r="B65" s="49" t="s">
        <v>57</v>
      </c>
      <c r="C65" s="50" t="s">
        <v>53</v>
      </c>
      <c r="D65" s="50">
        <v>33</v>
      </c>
      <c r="E65" s="51">
        <v>10</v>
      </c>
      <c r="F65" s="61">
        <f t="shared" si="8"/>
        <v>330</v>
      </c>
      <c r="G65" s="50">
        <v>33</v>
      </c>
      <c r="H65" s="199">
        <f t="shared" si="9"/>
        <v>330</v>
      </c>
    </row>
    <row r="66" spans="1:8" ht="60" customHeight="1" thickBot="1" x14ac:dyDescent="0.35">
      <c r="A66" s="35">
        <v>6.3</v>
      </c>
      <c r="B66" s="21" t="s">
        <v>54</v>
      </c>
      <c r="C66" s="23" t="s">
        <v>53</v>
      </c>
      <c r="D66" s="23">
        <v>5.5</v>
      </c>
      <c r="E66" s="24">
        <v>12</v>
      </c>
      <c r="F66" s="61">
        <f t="shared" si="8"/>
        <v>66</v>
      </c>
      <c r="G66" s="23">
        <v>5.5</v>
      </c>
      <c r="H66" s="199">
        <f t="shared" si="9"/>
        <v>66</v>
      </c>
    </row>
    <row r="67" spans="1:8" ht="65.25" customHeight="1" thickBot="1" x14ac:dyDescent="0.35">
      <c r="A67" s="23">
        <v>6.4</v>
      </c>
      <c r="B67" s="21" t="s">
        <v>68</v>
      </c>
      <c r="C67" s="23" t="s">
        <v>53</v>
      </c>
      <c r="D67" s="23">
        <v>33</v>
      </c>
      <c r="E67" s="24">
        <v>10</v>
      </c>
      <c r="F67" s="61">
        <f t="shared" si="8"/>
        <v>330</v>
      </c>
      <c r="G67" s="23">
        <v>33</v>
      </c>
      <c r="H67" s="199">
        <f t="shared" si="9"/>
        <v>330</v>
      </c>
    </row>
    <row r="68" spans="1:8" ht="19.95" customHeight="1" thickBot="1" x14ac:dyDescent="0.35">
      <c r="A68" s="11"/>
      <c r="B68" s="195" t="s">
        <v>55</v>
      </c>
      <c r="C68" s="195"/>
      <c r="D68" s="195"/>
      <c r="E68" s="196"/>
      <c r="F68" s="52">
        <f>SUM(F63:F67)</f>
        <v>776</v>
      </c>
      <c r="H68" s="52">
        <f>SUM(H63:H67)</f>
        <v>776</v>
      </c>
    </row>
    <row r="69" spans="1:8" ht="4.2" customHeight="1" thickBot="1" x14ac:dyDescent="0.35">
      <c r="A69" s="11"/>
      <c r="B69" s="7"/>
      <c r="C69" s="7"/>
      <c r="D69" s="7"/>
      <c r="E69" s="7"/>
      <c r="F69" s="47"/>
      <c r="G69" s="82"/>
    </row>
    <row r="70" spans="1:8" ht="19.95" customHeight="1" thickBot="1" x14ac:dyDescent="0.35">
      <c r="A70" s="15" t="s">
        <v>61</v>
      </c>
      <c r="B70" s="180" t="s">
        <v>65</v>
      </c>
      <c r="C70" s="181"/>
      <c r="D70" s="181"/>
      <c r="E70" s="181"/>
      <c r="F70" s="182"/>
      <c r="H70" s="84"/>
    </row>
    <row r="71" spans="1:8" ht="28.2" thickBot="1" x14ac:dyDescent="0.35">
      <c r="A71" s="1" t="s">
        <v>2</v>
      </c>
      <c r="B71" s="1" t="s">
        <v>1</v>
      </c>
      <c r="C71" s="1" t="s">
        <v>3</v>
      </c>
      <c r="D71" s="1" t="s">
        <v>4</v>
      </c>
      <c r="E71" s="67" t="s">
        <v>85</v>
      </c>
      <c r="F71" s="67" t="s">
        <v>86</v>
      </c>
      <c r="H71" s="84"/>
    </row>
    <row r="72" spans="1:8" ht="46.2" customHeight="1" thickBot="1" x14ac:dyDescent="0.35">
      <c r="A72" s="1">
        <v>7.1</v>
      </c>
      <c r="B72" s="54" t="s">
        <v>75</v>
      </c>
      <c r="C72" s="1" t="s">
        <v>59</v>
      </c>
      <c r="D72" s="1">
        <v>3</v>
      </c>
      <c r="E72" s="55">
        <v>15</v>
      </c>
      <c r="F72" s="62">
        <f>D72*E72</f>
        <v>45</v>
      </c>
      <c r="G72" s="1">
        <v>3</v>
      </c>
      <c r="H72" s="198">
        <f>G72*E72</f>
        <v>45</v>
      </c>
    </row>
    <row r="73" spans="1:8" ht="46.95" customHeight="1" thickBot="1" x14ac:dyDescent="0.35">
      <c r="A73" s="1">
        <v>7.2</v>
      </c>
      <c r="B73" s="54" t="s">
        <v>76</v>
      </c>
      <c r="C73" s="1" t="s">
        <v>13</v>
      </c>
      <c r="D73" s="1">
        <v>6</v>
      </c>
      <c r="E73" s="55">
        <v>10</v>
      </c>
      <c r="F73" s="62">
        <f t="shared" ref="F73:F79" si="10">D73*E73</f>
        <v>60</v>
      </c>
      <c r="G73" s="1">
        <v>6</v>
      </c>
      <c r="H73" s="198">
        <f t="shared" ref="H73:H79" si="11">G73*E73</f>
        <v>60</v>
      </c>
    </row>
    <row r="74" spans="1:8" ht="48" customHeight="1" thickBot="1" x14ac:dyDescent="0.35">
      <c r="A74" s="1">
        <v>7.3</v>
      </c>
      <c r="B74" s="53" t="s">
        <v>62</v>
      </c>
      <c r="C74" s="1" t="s">
        <v>14</v>
      </c>
      <c r="D74" s="24">
        <v>2</v>
      </c>
      <c r="E74" s="24">
        <v>250</v>
      </c>
      <c r="F74" s="62">
        <f t="shared" si="10"/>
        <v>500</v>
      </c>
      <c r="G74" s="24">
        <v>2</v>
      </c>
      <c r="H74" s="198">
        <f t="shared" si="11"/>
        <v>500</v>
      </c>
    </row>
    <row r="75" spans="1:8" ht="39" customHeight="1" thickBot="1" x14ac:dyDescent="0.35">
      <c r="A75" s="1">
        <v>7.4</v>
      </c>
      <c r="B75" s="53" t="s">
        <v>58</v>
      </c>
      <c r="C75" s="1" t="s">
        <v>14</v>
      </c>
      <c r="D75" s="24">
        <v>1</v>
      </c>
      <c r="E75" s="24">
        <v>150</v>
      </c>
      <c r="F75" s="62">
        <f t="shared" si="10"/>
        <v>150</v>
      </c>
      <c r="G75" s="24">
        <v>1</v>
      </c>
      <c r="H75" s="198">
        <f t="shared" si="11"/>
        <v>150</v>
      </c>
    </row>
    <row r="76" spans="1:8" ht="21" customHeight="1" thickBot="1" x14ac:dyDescent="0.35">
      <c r="A76" s="56">
        <v>7.5</v>
      </c>
      <c r="B76" s="58" t="s">
        <v>77</v>
      </c>
      <c r="C76" s="56" t="s">
        <v>59</v>
      </c>
      <c r="D76" s="37">
        <v>2</v>
      </c>
      <c r="E76" s="37">
        <v>20</v>
      </c>
      <c r="F76" s="62">
        <f t="shared" si="10"/>
        <v>40</v>
      </c>
      <c r="G76" s="37">
        <v>2</v>
      </c>
      <c r="H76" s="198">
        <f t="shared" si="11"/>
        <v>40</v>
      </c>
    </row>
    <row r="77" spans="1:8" ht="39.6" customHeight="1" thickBot="1" x14ac:dyDescent="0.35">
      <c r="A77" s="57">
        <v>7.6</v>
      </c>
      <c r="B77" s="59" t="s">
        <v>63</v>
      </c>
      <c r="C77" s="57" t="s">
        <v>13</v>
      </c>
      <c r="D77" s="38">
        <v>10</v>
      </c>
      <c r="E77" s="38">
        <v>25</v>
      </c>
      <c r="F77" s="62">
        <f t="shared" si="10"/>
        <v>250</v>
      </c>
      <c r="G77" s="38">
        <v>10</v>
      </c>
      <c r="H77" s="198">
        <f t="shared" si="11"/>
        <v>250</v>
      </c>
    </row>
    <row r="78" spans="1:8" ht="39.6" customHeight="1" thickBot="1" x14ac:dyDescent="0.35">
      <c r="A78" s="1">
        <v>7.7</v>
      </c>
      <c r="B78" s="54" t="s">
        <v>66</v>
      </c>
      <c r="C78" s="1" t="s">
        <v>14</v>
      </c>
      <c r="D78" s="55">
        <v>1</v>
      </c>
      <c r="E78" s="55">
        <v>61.63</v>
      </c>
      <c r="F78" s="62">
        <f t="shared" si="10"/>
        <v>61.63</v>
      </c>
      <c r="G78" s="55">
        <v>1</v>
      </c>
      <c r="H78" s="198">
        <f t="shared" si="11"/>
        <v>61.63</v>
      </c>
    </row>
    <row r="79" spans="1:8" ht="39.6" customHeight="1" thickBot="1" x14ac:dyDescent="0.35">
      <c r="A79" s="1">
        <v>7.8</v>
      </c>
      <c r="B79" s="54" t="s">
        <v>78</v>
      </c>
      <c r="C79" s="1" t="s">
        <v>14</v>
      </c>
      <c r="D79" s="55">
        <v>1</v>
      </c>
      <c r="E79" s="55">
        <v>50</v>
      </c>
      <c r="F79" s="62">
        <f t="shared" si="10"/>
        <v>50</v>
      </c>
      <c r="G79" s="55">
        <v>1</v>
      </c>
      <c r="H79" s="198">
        <f t="shared" si="11"/>
        <v>50</v>
      </c>
    </row>
    <row r="80" spans="1:8" ht="19.95" customHeight="1" thickBot="1" x14ac:dyDescent="0.35">
      <c r="A80"/>
      <c r="B80" s="186" t="s">
        <v>60</v>
      </c>
      <c r="C80" s="187"/>
      <c r="D80" s="187"/>
      <c r="E80" s="188"/>
      <c r="F80" s="64">
        <f>SUM(F72:F79)</f>
        <v>1156.6300000000001</v>
      </c>
      <c r="G80" s="32"/>
      <c r="H80" s="85">
        <f>SUM(H72:H79)</f>
        <v>1156.6300000000001</v>
      </c>
    </row>
    <row r="81" spans="1:8" ht="19.95" customHeight="1" x14ac:dyDescent="0.3">
      <c r="A81" s="159"/>
      <c r="B81" s="160"/>
      <c r="C81" s="160"/>
      <c r="D81" s="160"/>
      <c r="E81" s="160"/>
      <c r="F81" s="160"/>
      <c r="G81" s="89"/>
      <c r="H81" s="81"/>
    </row>
    <row r="82" spans="1:8" ht="16.2" thickBot="1" x14ac:dyDescent="0.35">
      <c r="A82" s="135" t="s">
        <v>80</v>
      </c>
      <c r="B82" s="136"/>
      <c r="C82" s="136"/>
      <c r="D82" s="136"/>
      <c r="E82" s="136"/>
      <c r="F82" s="137"/>
      <c r="G82" s="32"/>
      <c r="H82" s="88"/>
    </row>
    <row r="83" spans="1:8" ht="16.2" thickBot="1" x14ac:dyDescent="0.35">
      <c r="A83" s="39" t="s">
        <v>9</v>
      </c>
      <c r="B83" s="141" t="str">
        <f>B10</f>
        <v xml:space="preserve">  PUNËT PËRGATITORE</v>
      </c>
      <c r="C83" s="142"/>
      <c r="D83" s="142"/>
      <c r="E83" s="143"/>
      <c r="F83" s="40">
        <f>F17</f>
        <v>100</v>
      </c>
      <c r="G83" s="32"/>
      <c r="H83" s="40">
        <f>H17</f>
        <v>100</v>
      </c>
    </row>
    <row r="84" spans="1:8" ht="16.2" thickBot="1" x14ac:dyDescent="0.35">
      <c r="A84" s="39" t="s">
        <v>10</v>
      </c>
      <c r="B84" s="144" t="str">
        <f>B19</f>
        <v xml:space="preserve">PUNËT  E  DEMOLIMIT </v>
      </c>
      <c r="C84" s="145"/>
      <c r="D84" s="145"/>
      <c r="E84" s="146"/>
      <c r="F84" s="40">
        <f>F25</f>
        <v>350</v>
      </c>
      <c r="G84" s="32"/>
      <c r="H84" s="40">
        <f>H25</f>
        <v>350</v>
      </c>
    </row>
    <row r="85" spans="1:8" ht="16.2" thickBot="1" x14ac:dyDescent="0.35">
      <c r="A85" s="39" t="s">
        <v>18</v>
      </c>
      <c r="B85" s="144" t="str">
        <f>B27</f>
        <v>PUNIMËT E ZDRUKTHTARIS</v>
      </c>
      <c r="C85" s="145"/>
      <c r="D85" s="145"/>
      <c r="E85" s="146"/>
      <c r="F85" s="40">
        <f>F31</f>
        <v>250</v>
      </c>
      <c r="G85" s="32"/>
      <c r="H85" s="40">
        <f>H31</f>
        <v>250</v>
      </c>
    </row>
    <row r="86" spans="1:8" ht="16.2" thickBot="1" x14ac:dyDescent="0.35">
      <c r="A86" s="39" t="s">
        <v>19</v>
      </c>
      <c r="B86" s="144" t="str">
        <f>B33</f>
        <v>PUNIMËT E KONSTRUKSIONIT METALIKE DHE ZDRUKTHTARIS (S= 16,0m²</v>
      </c>
      <c r="C86" s="145"/>
      <c r="D86" s="145"/>
      <c r="E86" s="146"/>
      <c r="F86" s="41">
        <f>F40</f>
        <v>5065.7725000000009</v>
      </c>
      <c r="G86" s="32"/>
      <c r="H86" s="40">
        <f>H40</f>
        <v>5065.7725000000009</v>
      </c>
    </row>
    <row r="87" spans="1:8" ht="16.2" thickBot="1" x14ac:dyDescent="0.35">
      <c r="A87" s="39" t="s">
        <v>20</v>
      </c>
      <c r="B87" s="45" t="str">
        <f>B42</f>
        <v>PUNIMET TË TJERA</v>
      </c>
      <c r="C87" s="45"/>
      <c r="D87" s="45"/>
      <c r="E87" s="46"/>
      <c r="F87" s="41">
        <f>F58</f>
        <v>4523.6000000000004</v>
      </c>
      <c r="G87" s="32"/>
      <c r="H87" s="40">
        <f>H58</f>
        <v>4523.6000000000004</v>
      </c>
    </row>
    <row r="88" spans="1:8" ht="16.2" thickBot="1" x14ac:dyDescent="0.35">
      <c r="A88" s="39" t="s">
        <v>67</v>
      </c>
      <c r="B88" s="129" t="str">
        <f>B60</f>
        <v>PUNIMET NË TUALETE</v>
      </c>
      <c r="C88" s="130"/>
      <c r="D88" s="130"/>
      <c r="E88" s="131"/>
      <c r="F88" s="63">
        <f>F68</f>
        <v>776</v>
      </c>
      <c r="G88" s="32"/>
      <c r="H88" s="87">
        <f>H68</f>
        <v>776</v>
      </c>
    </row>
    <row r="89" spans="1:8" ht="16.2" thickBot="1" x14ac:dyDescent="0.35">
      <c r="A89" s="39" t="s">
        <v>61</v>
      </c>
      <c r="B89" s="132" t="str">
        <f>B70</f>
        <v>PUNIMËT E SANITARISË DHE TË NDRYSHME</v>
      </c>
      <c r="C89" s="133"/>
      <c r="D89" s="133"/>
      <c r="E89" s="134"/>
      <c r="F89" s="63">
        <f>F80</f>
        <v>1156.6300000000001</v>
      </c>
      <c r="G89" s="32"/>
      <c r="H89" s="87">
        <f>H80</f>
        <v>1156.6300000000001</v>
      </c>
    </row>
    <row r="90" spans="1:8" ht="16.2" thickBot="1" x14ac:dyDescent="0.35">
      <c r="A90" s="138" t="s">
        <v>87</v>
      </c>
      <c r="B90" s="139"/>
      <c r="C90" s="139"/>
      <c r="D90" s="139"/>
      <c r="E90" s="140"/>
      <c r="F90" s="34">
        <f>SUM(F83:F89)</f>
        <v>12222.002500000002</v>
      </c>
      <c r="G90" s="86"/>
      <c r="H90" s="52">
        <f>SUM(H83:H89)</f>
        <v>12222.002500000002</v>
      </c>
    </row>
    <row r="91" spans="1:8" x14ac:dyDescent="0.3">
      <c r="A91" s="32"/>
      <c r="B91" s="32"/>
      <c r="C91" s="32"/>
      <c r="D91" s="32"/>
      <c r="E91" s="32"/>
      <c r="F91" s="32"/>
      <c r="G91" s="32"/>
    </row>
    <row r="92" spans="1:8" x14ac:dyDescent="0.3">
      <c r="A92" s="32"/>
      <c r="B92" s="32"/>
      <c r="C92" s="32"/>
      <c r="D92" s="32"/>
      <c r="E92" s="32"/>
      <c r="F92" s="32"/>
      <c r="G92" s="32"/>
      <c r="H92" s="66"/>
    </row>
    <row r="93" spans="1:8" ht="20.100000000000001" customHeight="1" x14ac:dyDescent="0.3">
      <c r="A93" s="107" t="s">
        <v>102</v>
      </c>
      <c r="B93" s="108"/>
      <c r="C93" s="108"/>
      <c r="D93" s="108"/>
      <c r="E93" s="108"/>
      <c r="F93" s="109"/>
      <c r="G93" s="110">
        <f>H90</f>
        <v>12222.002500000002</v>
      </c>
      <c r="H93" s="111"/>
    </row>
    <row r="94" spans="1:8" ht="15" customHeight="1" x14ac:dyDescent="0.3"/>
    <row r="95" spans="1:8" hidden="1" x14ac:dyDescent="0.3">
      <c r="A95" s="32"/>
      <c r="B95" s="32"/>
      <c r="C95" s="32"/>
      <c r="D95" s="32"/>
      <c r="E95" s="32"/>
      <c r="F95" s="32"/>
      <c r="G95" s="32"/>
    </row>
    <row r="96" spans="1:8" ht="3" hidden="1" customHeight="1" x14ac:dyDescent="0.3">
      <c r="A96" s="32"/>
      <c r="B96" s="32"/>
      <c r="C96" s="32"/>
      <c r="D96" s="32"/>
      <c r="E96" s="32"/>
      <c r="F96" s="32"/>
      <c r="G96" s="32"/>
    </row>
    <row r="97" spans="1:10" ht="20.100000000000001" customHeight="1" x14ac:dyDescent="0.3">
      <c r="A97" s="90" t="s">
        <v>99</v>
      </c>
      <c r="B97" s="90"/>
      <c r="C97" s="91"/>
      <c r="D97" s="92"/>
      <c r="E97" s="93"/>
      <c r="F97" s="93"/>
    </row>
    <row r="98" spans="1:10" ht="20.100000000000001" customHeight="1" x14ac:dyDescent="0.3">
      <c r="A98" s="112"/>
      <c r="B98" s="113"/>
      <c r="C98" s="113"/>
      <c r="D98" s="113"/>
      <c r="E98" s="113"/>
      <c r="F98" s="113"/>
      <c r="G98" s="113"/>
      <c r="H98" s="114"/>
      <c r="I98" s="103"/>
      <c r="J98" s="104"/>
    </row>
    <row r="99" spans="1:10" ht="20.100000000000001" customHeight="1" x14ac:dyDescent="0.3">
      <c r="A99" s="115"/>
      <c r="B99" s="116"/>
      <c r="C99" s="116"/>
      <c r="D99" s="116"/>
      <c r="E99" s="116"/>
      <c r="F99" s="116"/>
      <c r="G99" s="116"/>
      <c r="H99" s="117"/>
      <c r="I99" s="103"/>
      <c r="J99" s="104"/>
    </row>
    <row r="100" spans="1:10" ht="20.100000000000001" customHeight="1" x14ac:dyDescent="0.3">
      <c r="A100" s="115"/>
      <c r="B100" s="116"/>
      <c r="C100" s="116"/>
      <c r="D100" s="116"/>
      <c r="E100" s="116"/>
      <c r="F100" s="116"/>
      <c r="G100" s="116"/>
      <c r="H100" s="117"/>
      <c r="I100" s="103"/>
      <c r="J100" s="104"/>
    </row>
    <row r="101" spans="1:10" ht="20.100000000000001" customHeight="1" x14ac:dyDescent="0.3">
      <c r="A101" s="115"/>
      <c r="B101" s="116"/>
      <c r="C101" s="116"/>
      <c r="D101" s="116"/>
      <c r="E101" s="116"/>
      <c r="F101" s="116"/>
      <c r="G101" s="116"/>
      <c r="H101" s="117"/>
      <c r="I101" s="103"/>
      <c r="J101" s="104"/>
    </row>
    <row r="102" spans="1:10" ht="57.6" customHeight="1" x14ac:dyDescent="0.3">
      <c r="A102" s="118"/>
      <c r="B102" s="119"/>
      <c r="C102" s="119"/>
      <c r="D102" s="119"/>
      <c r="E102" s="119"/>
      <c r="F102" s="119"/>
      <c r="G102" s="119"/>
      <c r="H102" s="120"/>
      <c r="I102" s="103"/>
      <c r="J102" s="104"/>
    </row>
    <row r="103" spans="1:10" ht="20.100000000000001" customHeight="1" x14ac:dyDescent="0.3">
      <c r="A103" s="32"/>
      <c r="B103" s="32"/>
      <c r="C103" s="32"/>
      <c r="D103" s="32"/>
      <c r="E103" s="32"/>
      <c r="F103" s="32"/>
      <c r="G103" s="32"/>
    </row>
    <row r="104" spans="1:10" ht="3.6" customHeight="1" x14ac:dyDescent="0.3">
      <c r="A104" s="32"/>
      <c r="B104" s="32"/>
      <c r="C104" s="32"/>
      <c r="D104" s="32"/>
      <c r="E104" s="32"/>
      <c r="F104" s="32"/>
      <c r="G104" s="32"/>
    </row>
    <row r="105" spans="1:10" ht="18.600000000000001" customHeight="1" x14ac:dyDescent="0.3">
      <c r="A105"/>
      <c r="B105"/>
      <c r="C105"/>
      <c r="D105"/>
      <c r="E105"/>
      <c r="F105"/>
      <c r="G105"/>
      <c r="I105"/>
    </row>
    <row r="106" spans="1:10" ht="20.100000000000001" customHeight="1" x14ac:dyDescent="0.35">
      <c r="A106" s="105" t="s">
        <v>103</v>
      </c>
      <c r="B106" s="94"/>
      <c r="C106" s="96"/>
      <c r="D106" s="97"/>
      <c r="E106" s="106" t="s">
        <v>107</v>
      </c>
      <c r="F106"/>
      <c r="G106"/>
      <c r="I106"/>
    </row>
    <row r="107" spans="1:10" ht="32.4" customHeight="1" x14ac:dyDescent="0.35">
      <c r="A107" s="95" t="s">
        <v>104</v>
      </c>
      <c r="B107" s="94"/>
      <c r="C107" s="98"/>
      <c r="D107" s="99"/>
      <c r="E107" s="100" t="s">
        <v>108</v>
      </c>
      <c r="F107"/>
      <c r="G107"/>
      <c r="I107"/>
    </row>
    <row r="108" spans="1:10" ht="51" customHeight="1" x14ac:dyDescent="0.4">
      <c r="A108" s="121" t="s">
        <v>105</v>
      </c>
      <c r="B108" s="121"/>
      <c r="C108" s="121"/>
      <c r="D108" s="102"/>
      <c r="E108" s="101" t="s">
        <v>100</v>
      </c>
      <c r="F108"/>
      <c r="G108"/>
      <c r="I108"/>
    </row>
    <row r="109" spans="1:10" ht="20.100000000000001" customHeight="1" x14ac:dyDescent="0.3">
      <c r="A109" s="32"/>
      <c r="B109" s="32"/>
      <c r="C109" s="32"/>
      <c r="D109" s="32"/>
      <c r="E109" s="32"/>
      <c r="F109" s="32"/>
      <c r="G109" s="32"/>
    </row>
    <row r="110" spans="1:10" ht="19.8" customHeight="1" x14ac:dyDescent="0.3">
      <c r="A110" s="32"/>
      <c r="B110" s="32"/>
      <c r="C110" s="32"/>
      <c r="D110" s="32"/>
      <c r="E110" s="32"/>
      <c r="F110" s="32"/>
      <c r="G110" s="32"/>
    </row>
    <row r="111" spans="1:10" ht="20.100000000000001" customHeight="1" x14ac:dyDescent="0.3">
      <c r="A111" s="32"/>
      <c r="B111" s="32"/>
      <c r="C111" s="32"/>
      <c r="D111" s="32"/>
      <c r="E111" s="32"/>
      <c r="F111" s="32"/>
      <c r="G111" s="32"/>
    </row>
    <row r="112" spans="1:10" ht="20.100000000000001" customHeight="1" x14ac:dyDescent="0.3">
      <c r="A112" s="32"/>
      <c r="B112" s="32"/>
      <c r="C112" s="32"/>
      <c r="D112" s="32"/>
      <c r="E112" s="32"/>
      <c r="F112" s="32"/>
      <c r="G112" s="32"/>
    </row>
    <row r="113" spans="1:7" ht="20.100000000000001" customHeight="1" x14ac:dyDescent="0.3">
      <c r="A113" s="32"/>
      <c r="B113" s="32"/>
      <c r="C113" s="32"/>
      <c r="D113" s="32"/>
      <c r="E113" s="32"/>
      <c r="F113" s="32"/>
      <c r="G113" s="32"/>
    </row>
    <row r="114" spans="1:7" ht="20.100000000000001" customHeight="1" x14ac:dyDescent="0.3">
      <c r="A114" s="32"/>
      <c r="B114" s="32"/>
      <c r="C114" s="32"/>
      <c r="D114" s="32"/>
      <c r="E114" s="32"/>
      <c r="F114" s="32"/>
      <c r="G114" s="32"/>
    </row>
    <row r="115" spans="1:7" ht="20.100000000000001" customHeight="1" x14ac:dyDescent="0.3">
      <c r="A115" s="32"/>
      <c r="B115" s="32"/>
      <c r="C115" s="32"/>
      <c r="D115" s="32"/>
      <c r="E115" s="32"/>
      <c r="F115" s="32"/>
      <c r="G115" s="32"/>
    </row>
    <row r="116" spans="1:7" ht="20.100000000000001" customHeight="1" x14ac:dyDescent="0.3">
      <c r="A116" s="32"/>
      <c r="B116" s="32"/>
      <c r="C116" s="32"/>
      <c r="D116" s="32"/>
      <c r="E116" s="32"/>
      <c r="F116" s="32"/>
      <c r="G116" s="32"/>
    </row>
    <row r="117" spans="1:7" ht="20.100000000000001" customHeight="1" x14ac:dyDescent="0.3">
      <c r="A117" s="32"/>
      <c r="B117" s="32"/>
      <c r="C117" s="32"/>
      <c r="D117" s="32"/>
      <c r="E117" s="32"/>
      <c r="F117" s="32"/>
      <c r="G117" s="32"/>
    </row>
    <row r="118" spans="1:7" ht="20.100000000000001" customHeight="1" x14ac:dyDescent="0.3">
      <c r="A118" s="32"/>
      <c r="B118" s="32"/>
      <c r="C118" s="32"/>
      <c r="D118" s="32"/>
      <c r="E118" s="32"/>
      <c r="F118" s="32"/>
      <c r="G118" s="32"/>
    </row>
    <row r="119" spans="1:7" ht="20.100000000000001" customHeight="1" x14ac:dyDescent="0.3">
      <c r="A119" s="32"/>
      <c r="B119" s="32"/>
      <c r="C119" s="32"/>
      <c r="D119" s="32"/>
      <c r="E119" s="32"/>
      <c r="F119" s="32"/>
      <c r="G119" s="32"/>
    </row>
    <row r="120" spans="1:7" ht="20.100000000000001" customHeight="1" x14ac:dyDescent="0.3">
      <c r="A120" s="32"/>
      <c r="B120" s="32"/>
      <c r="C120" s="32"/>
      <c r="D120" s="32"/>
      <c r="E120" s="32"/>
      <c r="F120" s="32"/>
      <c r="G120" s="32"/>
    </row>
    <row r="121" spans="1:7" ht="20.100000000000001" customHeight="1" x14ac:dyDescent="0.3">
      <c r="A121" s="32"/>
      <c r="B121" s="32"/>
      <c r="C121" s="32"/>
      <c r="D121" s="32"/>
      <c r="E121" s="32"/>
      <c r="F121" s="32"/>
      <c r="G121" s="32"/>
    </row>
    <row r="122" spans="1:7" ht="20.100000000000001" customHeight="1" x14ac:dyDescent="0.3">
      <c r="A122" s="32"/>
      <c r="B122" s="32"/>
      <c r="C122" s="32"/>
      <c r="D122" s="32"/>
      <c r="E122" s="32"/>
      <c r="F122" s="32"/>
      <c r="G122" s="32"/>
    </row>
    <row r="123" spans="1:7" ht="20.100000000000001" customHeight="1" x14ac:dyDescent="0.3">
      <c r="A123" s="32"/>
      <c r="B123" s="32"/>
      <c r="C123" s="32"/>
      <c r="D123" s="32"/>
      <c r="E123" s="32"/>
      <c r="F123" s="32"/>
      <c r="G123" s="32"/>
    </row>
    <row r="124" spans="1:7" ht="20.100000000000001" customHeight="1" x14ac:dyDescent="0.3">
      <c r="A124" s="32"/>
      <c r="B124" s="32"/>
      <c r="C124" s="32"/>
      <c r="D124" s="32"/>
      <c r="E124" s="32"/>
      <c r="F124" s="32"/>
      <c r="G124" s="32"/>
    </row>
    <row r="125" spans="1:7" ht="20.100000000000001" customHeight="1" x14ac:dyDescent="0.3">
      <c r="A125" s="32"/>
      <c r="B125" s="32"/>
      <c r="C125" s="32"/>
      <c r="D125" s="32"/>
      <c r="E125" s="32"/>
      <c r="F125" s="32"/>
      <c r="G125" s="32"/>
    </row>
    <row r="126" spans="1:7" ht="20.100000000000001" customHeight="1" x14ac:dyDescent="0.3">
      <c r="A126" s="32"/>
      <c r="B126" s="32"/>
      <c r="C126" s="32"/>
      <c r="D126" s="32"/>
      <c r="E126" s="32"/>
      <c r="F126" s="32"/>
      <c r="G126" s="32"/>
    </row>
    <row r="127" spans="1:7" ht="20.100000000000001" customHeight="1" x14ac:dyDescent="0.3">
      <c r="A127" s="32"/>
      <c r="B127" s="32"/>
      <c r="C127" s="32"/>
      <c r="D127" s="32"/>
      <c r="E127" s="32"/>
      <c r="F127" s="32"/>
      <c r="G127" s="32"/>
    </row>
    <row r="128" spans="1:7" ht="20.100000000000001" customHeight="1" x14ac:dyDescent="0.3">
      <c r="A128" s="32"/>
      <c r="B128" s="32"/>
      <c r="C128" s="32"/>
      <c r="D128" s="32"/>
      <c r="E128" s="32"/>
      <c r="F128" s="32"/>
      <c r="G128" s="32"/>
    </row>
    <row r="129" spans="1:7" ht="20.100000000000001" customHeight="1" x14ac:dyDescent="0.3">
      <c r="A129" s="32"/>
      <c r="B129" s="32"/>
      <c r="C129" s="32"/>
      <c r="D129" s="32"/>
      <c r="E129" s="32"/>
      <c r="F129" s="32"/>
      <c r="G129" s="32"/>
    </row>
    <row r="130" spans="1:7" ht="20.100000000000001" customHeight="1" x14ac:dyDescent="0.3">
      <c r="A130" s="32"/>
      <c r="B130" s="32"/>
      <c r="C130" s="32"/>
      <c r="D130" s="32"/>
      <c r="E130" s="32"/>
      <c r="F130" s="32"/>
      <c r="G130" s="32"/>
    </row>
    <row r="131" spans="1:7" ht="20.100000000000001" customHeight="1" x14ac:dyDescent="0.3">
      <c r="A131" s="32"/>
      <c r="B131" s="32"/>
      <c r="C131" s="32"/>
      <c r="D131" s="32"/>
      <c r="E131" s="32"/>
      <c r="F131" s="32"/>
      <c r="G131" s="32"/>
    </row>
    <row r="132" spans="1:7" ht="20.100000000000001" customHeight="1" x14ac:dyDescent="0.3">
      <c r="A132" s="32"/>
      <c r="B132" s="32"/>
      <c r="C132" s="32"/>
      <c r="D132" s="32"/>
      <c r="E132" s="32"/>
      <c r="F132" s="32"/>
      <c r="G132" s="32"/>
    </row>
    <row r="133" spans="1:7" ht="20.100000000000001" customHeight="1" x14ac:dyDescent="0.3">
      <c r="A133" s="32"/>
      <c r="B133" s="32"/>
      <c r="C133" s="32"/>
      <c r="D133" s="32"/>
      <c r="E133" s="32"/>
      <c r="F133" s="32"/>
      <c r="G133" s="32"/>
    </row>
    <row r="134" spans="1:7" ht="20.100000000000001" customHeight="1" x14ac:dyDescent="0.3">
      <c r="A134" s="32"/>
      <c r="B134" s="32"/>
      <c r="C134" s="32"/>
      <c r="D134" s="32"/>
      <c r="E134" s="32"/>
      <c r="F134" s="32"/>
      <c r="G134" s="32"/>
    </row>
    <row r="135" spans="1:7" ht="20.100000000000001" customHeight="1" x14ac:dyDescent="0.3">
      <c r="A135" s="32"/>
      <c r="B135" s="32"/>
      <c r="C135" s="32"/>
      <c r="D135" s="32"/>
      <c r="E135" s="32"/>
      <c r="F135" s="32"/>
      <c r="G135" s="32"/>
    </row>
    <row r="136" spans="1:7" ht="20.100000000000001" customHeight="1" x14ac:dyDescent="0.3">
      <c r="A136" s="32"/>
      <c r="B136" s="32"/>
      <c r="C136" s="32"/>
      <c r="D136" s="32"/>
      <c r="E136" s="32"/>
      <c r="F136" s="32"/>
      <c r="G136" s="32"/>
    </row>
    <row r="137" spans="1:7" ht="20.100000000000001" customHeight="1" x14ac:dyDescent="0.3">
      <c r="A137" s="32"/>
      <c r="B137" s="32"/>
      <c r="C137" s="32"/>
      <c r="D137" s="32"/>
      <c r="E137" s="32"/>
      <c r="F137" s="32"/>
      <c r="G137" s="32"/>
    </row>
    <row r="138" spans="1:7" ht="20.100000000000001" customHeight="1" x14ac:dyDescent="0.3">
      <c r="A138" s="32"/>
      <c r="B138" s="32"/>
      <c r="C138" s="32"/>
      <c r="D138" s="32"/>
      <c r="E138" s="32"/>
      <c r="F138" s="32"/>
      <c r="G138" s="32"/>
    </row>
    <row r="139" spans="1:7" ht="20.100000000000001" customHeight="1" x14ac:dyDescent="0.3">
      <c r="A139" s="32"/>
      <c r="B139" s="32"/>
      <c r="C139" s="32"/>
      <c r="D139" s="32"/>
      <c r="E139" s="32"/>
      <c r="F139" s="32"/>
      <c r="G139" s="32"/>
    </row>
    <row r="140" spans="1:7" ht="20.100000000000001" customHeight="1" x14ac:dyDescent="0.3">
      <c r="A140" s="32"/>
      <c r="B140" s="32"/>
      <c r="C140" s="32"/>
      <c r="D140" s="32"/>
      <c r="E140" s="32"/>
      <c r="F140" s="32"/>
      <c r="G140" s="32"/>
    </row>
    <row r="141" spans="1:7" ht="20.100000000000001" customHeight="1" x14ac:dyDescent="0.3">
      <c r="A141" s="32"/>
      <c r="B141" s="32"/>
      <c r="C141" s="32"/>
      <c r="D141" s="32"/>
      <c r="E141" s="32"/>
      <c r="F141" s="32"/>
      <c r="G141" s="32"/>
    </row>
    <row r="142" spans="1:7" ht="20.100000000000001" customHeight="1" x14ac:dyDescent="0.3">
      <c r="A142" s="32"/>
      <c r="B142" s="32"/>
      <c r="C142" s="32"/>
      <c r="D142" s="32"/>
      <c r="E142" s="32"/>
      <c r="F142" s="32"/>
      <c r="G142" s="32"/>
    </row>
    <row r="143" spans="1:7" ht="20.100000000000001" customHeight="1" x14ac:dyDescent="0.3">
      <c r="A143" s="32"/>
      <c r="B143" s="32"/>
      <c r="C143" s="32"/>
      <c r="D143" s="32"/>
      <c r="E143" s="32"/>
      <c r="F143" s="32"/>
      <c r="G143" s="32"/>
    </row>
    <row r="144" spans="1:7" ht="20.100000000000001" customHeight="1" x14ac:dyDescent="0.3">
      <c r="A144" s="32"/>
      <c r="B144" s="32"/>
      <c r="C144" s="32"/>
      <c r="D144" s="32"/>
      <c r="E144" s="32"/>
      <c r="F144" s="32"/>
      <c r="G144" s="32"/>
    </row>
    <row r="145" spans="1:7" ht="20.100000000000001" customHeight="1" x14ac:dyDescent="0.3">
      <c r="A145" s="32"/>
      <c r="B145" s="32"/>
      <c r="C145" s="32"/>
      <c r="D145" s="32"/>
      <c r="E145" s="32"/>
      <c r="F145" s="32"/>
      <c r="G145" s="32"/>
    </row>
    <row r="146" spans="1:7" ht="20.100000000000001" customHeight="1" x14ac:dyDescent="0.3">
      <c r="A146" s="32"/>
      <c r="B146" s="32"/>
      <c r="C146" s="32"/>
      <c r="D146" s="32"/>
      <c r="E146" s="32"/>
      <c r="F146" s="32"/>
      <c r="G146" s="32"/>
    </row>
    <row r="147" spans="1:7" ht="20.100000000000001" customHeight="1" x14ac:dyDescent="0.3">
      <c r="A147" s="32"/>
      <c r="B147" s="32"/>
      <c r="C147" s="32"/>
      <c r="D147" s="32"/>
      <c r="E147" s="32"/>
      <c r="F147" s="32"/>
      <c r="G147" s="32"/>
    </row>
    <row r="148" spans="1:7" ht="20.100000000000001" customHeight="1" x14ac:dyDescent="0.3">
      <c r="A148" s="32"/>
      <c r="B148" s="32"/>
      <c r="C148" s="32"/>
      <c r="D148" s="32"/>
      <c r="E148" s="32"/>
      <c r="F148" s="32"/>
      <c r="G148" s="32"/>
    </row>
    <row r="149" spans="1:7" ht="20.100000000000001" customHeight="1" x14ac:dyDescent="0.3">
      <c r="A149" s="32"/>
      <c r="B149" s="32"/>
      <c r="C149" s="32"/>
      <c r="D149" s="32"/>
      <c r="E149" s="32"/>
      <c r="F149" s="32"/>
      <c r="G149" s="32"/>
    </row>
    <row r="150" spans="1:7" ht="20.100000000000001" customHeight="1" x14ac:dyDescent="0.3">
      <c r="A150" s="32"/>
      <c r="B150" s="32"/>
      <c r="C150" s="32"/>
      <c r="D150" s="32"/>
      <c r="E150" s="32"/>
      <c r="F150" s="32"/>
      <c r="G150" s="32"/>
    </row>
    <row r="151" spans="1:7" ht="20.100000000000001" customHeight="1" x14ac:dyDescent="0.3">
      <c r="A151" s="32"/>
      <c r="B151" s="32"/>
      <c r="C151" s="32"/>
      <c r="D151" s="32"/>
      <c r="E151" s="32"/>
      <c r="F151" s="32"/>
      <c r="G151" s="32"/>
    </row>
    <row r="152" spans="1:7" ht="20.100000000000001" customHeight="1" x14ac:dyDescent="0.3">
      <c r="A152" s="32"/>
      <c r="B152" s="32"/>
      <c r="C152" s="32"/>
      <c r="D152" s="32"/>
      <c r="E152" s="32"/>
      <c r="F152" s="32"/>
      <c r="G152" s="32"/>
    </row>
    <row r="153" spans="1:7" ht="20.100000000000001" customHeight="1" x14ac:dyDescent="0.3">
      <c r="A153" s="32"/>
      <c r="B153" s="32"/>
      <c r="C153" s="32"/>
      <c r="D153" s="32"/>
      <c r="E153" s="32"/>
      <c r="F153" s="32"/>
      <c r="G153" s="32"/>
    </row>
    <row r="154" spans="1:7" ht="20.100000000000001" customHeight="1" x14ac:dyDescent="0.3">
      <c r="A154" s="32"/>
      <c r="B154" s="32"/>
      <c r="C154" s="32"/>
      <c r="D154" s="32"/>
      <c r="E154" s="32"/>
      <c r="F154" s="32"/>
      <c r="G154" s="32"/>
    </row>
    <row r="155" spans="1:7" ht="20.100000000000001" customHeight="1" x14ac:dyDescent="0.3">
      <c r="A155" s="32"/>
      <c r="B155" s="32"/>
      <c r="C155" s="32"/>
      <c r="D155" s="32"/>
      <c r="E155" s="32"/>
      <c r="F155" s="32"/>
      <c r="G155" s="32"/>
    </row>
    <row r="156" spans="1:7" ht="20.100000000000001" customHeight="1" x14ac:dyDescent="0.3">
      <c r="A156" s="32"/>
      <c r="B156" s="32"/>
      <c r="C156" s="32"/>
      <c r="D156" s="32"/>
      <c r="E156" s="32"/>
      <c r="F156" s="32"/>
      <c r="G156" s="32"/>
    </row>
    <row r="157" spans="1:7" ht="20.100000000000001" customHeight="1" x14ac:dyDescent="0.3">
      <c r="A157" s="32"/>
      <c r="B157" s="32"/>
      <c r="C157" s="32"/>
      <c r="D157" s="32"/>
      <c r="E157" s="32"/>
      <c r="F157" s="32"/>
      <c r="G157" s="32"/>
    </row>
    <row r="158" spans="1:7" ht="20.100000000000001" customHeight="1" x14ac:dyDescent="0.3">
      <c r="A158" s="32"/>
      <c r="B158" s="32"/>
      <c r="C158" s="32"/>
      <c r="D158" s="32"/>
      <c r="E158" s="32"/>
      <c r="F158" s="32"/>
      <c r="G158" s="32"/>
    </row>
    <row r="159" spans="1:7" ht="20.100000000000001" customHeight="1" x14ac:dyDescent="0.3">
      <c r="A159" s="32"/>
      <c r="B159" s="32"/>
      <c r="C159" s="32"/>
      <c r="D159" s="32"/>
      <c r="E159" s="32"/>
      <c r="F159" s="32"/>
      <c r="G159" s="32"/>
    </row>
    <row r="160" spans="1:7" ht="20.100000000000001" customHeight="1" x14ac:dyDescent="0.3">
      <c r="A160" s="32"/>
      <c r="B160" s="32"/>
      <c r="C160" s="32"/>
      <c r="D160" s="32"/>
      <c r="E160" s="32"/>
      <c r="F160" s="32"/>
      <c r="G160" s="32"/>
    </row>
    <row r="161" spans="1:7" ht="20.100000000000001" customHeight="1" x14ac:dyDescent="0.3">
      <c r="A161" s="32"/>
      <c r="B161" s="32"/>
      <c r="C161" s="32"/>
      <c r="D161" s="32"/>
      <c r="E161" s="32"/>
      <c r="F161" s="32"/>
      <c r="G161" s="32"/>
    </row>
    <row r="162" spans="1:7" ht="20.100000000000001" customHeight="1" x14ac:dyDescent="0.3">
      <c r="A162" s="32"/>
      <c r="B162" s="32"/>
      <c r="C162" s="32"/>
      <c r="D162" s="32"/>
      <c r="E162" s="32"/>
      <c r="F162" s="32"/>
      <c r="G162" s="32"/>
    </row>
    <row r="163" spans="1:7" ht="20.100000000000001" customHeight="1" x14ac:dyDescent="0.3">
      <c r="A163" s="32"/>
      <c r="B163" s="32"/>
      <c r="C163" s="32"/>
      <c r="D163" s="32"/>
      <c r="E163" s="32"/>
      <c r="F163" s="32"/>
      <c r="G163" s="32"/>
    </row>
    <row r="164" spans="1:7" ht="20.100000000000001" customHeight="1" x14ac:dyDescent="0.3">
      <c r="A164" s="32"/>
      <c r="B164" s="32"/>
      <c r="C164" s="32"/>
      <c r="D164" s="32"/>
      <c r="E164" s="32"/>
      <c r="F164" s="32"/>
      <c r="G164" s="32"/>
    </row>
    <row r="165" spans="1:7" ht="20.100000000000001" customHeight="1" x14ac:dyDescent="0.3">
      <c r="A165" s="32"/>
      <c r="B165" s="32"/>
      <c r="C165" s="32"/>
      <c r="D165" s="32"/>
      <c r="E165" s="32"/>
      <c r="F165" s="32"/>
      <c r="G165" s="32"/>
    </row>
    <row r="166" spans="1:7" ht="20.100000000000001" customHeight="1" x14ac:dyDescent="0.3">
      <c r="A166" s="32"/>
      <c r="B166" s="32"/>
      <c r="C166" s="32"/>
      <c r="D166" s="32"/>
      <c r="E166" s="32"/>
      <c r="F166" s="32"/>
      <c r="G166" s="32"/>
    </row>
    <row r="167" spans="1:7" ht="20.100000000000001" customHeight="1" x14ac:dyDescent="0.3">
      <c r="A167" s="32"/>
      <c r="B167" s="32"/>
      <c r="C167" s="32"/>
      <c r="D167" s="32"/>
      <c r="E167" s="32"/>
      <c r="F167" s="32"/>
      <c r="G167" s="32"/>
    </row>
    <row r="168" spans="1:7" ht="20.100000000000001" customHeight="1" x14ac:dyDescent="0.3">
      <c r="A168" s="32"/>
      <c r="B168" s="32"/>
      <c r="C168" s="32"/>
      <c r="D168" s="32"/>
      <c r="E168" s="32"/>
      <c r="F168" s="32"/>
      <c r="G168" s="32"/>
    </row>
    <row r="169" spans="1:7" ht="20.100000000000001" customHeight="1" x14ac:dyDescent="0.3">
      <c r="A169" s="32"/>
      <c r="B169" s="32"/>
      <c r="C169" s="32"/>
      <c r="D169" s="32"/>
      <c r="E169" s="32"/>
      <c r="F169" s="32"/>
      <c r="G169" s="32"/>
    </row>
    <row r="170" spans="1:7" ht="20.100000000000001" customHeight="1" x14ac:dyDescent="0.3">
      <c r="A170" s="32"/>
      <c r="B170" s="32"/>
      <c r="C170" s="32"/>
      <c r="D170" s="32"/>
      <c r="E170" s="32"/>
      <c r="F170" s="32"/>
      <c r="G170" s="32"/>
    </row>
    <row r="171" spans="1:7" ht="20.100000000000001" customHeight="1" x14ac:dyDescent="0.3">
      <c r="A171" s="32"/>
      <c r="B171" s="32"/>
      <c r="C171" s="32"/>
      <c r="D171" s="32"/>
      <c r="E171" s="32"/>
      <c r="F171" s="32"/>
      <c r="G171" s="32"/>
    </row>
    <row r="172" spans="1:7" ht="20.100000000000001" customHeight="1" x14ac:dyDescent="0.3">
      <c r="A172" s="32"/>
      <c r="B172" s="32"/>
      <c r="C172" s="32"/>
      <c r="D172" s="32"/>
      <c r="E172" s="32"/>
      <c r="F172" s="32"/>
      <c r="G172" s="32"/>
    </row>
    <row r="173" spans="1:7" ht="20.100000000000001" customHeight="1" x14ac:dyDescent="0.3">
      <c r="A173" s="32"/>
      <c r="B173" s="32"/>
      <c r="C173" s="32"/>
      <c r="D173" s="32"/>
      <c r="E173" s="32"/>
      <c r="F173" s="32"/>
      <c r="G173" s="32"/>
    </row>
    <row r="174" spans="1:7" ht="20.100000000000001" customHeight="1" x14ac:dyDescent="0.3">
      <c r="A174" s="32"/>
      <c r="B174" s="32"/>
      <c r="C174" s="32"/>
      <c r="D174" s="32"/>
      <c r="E174" s="32"/>
      <c r="F174" s="32"/>
      <c r="G174" s="32"/>
    </row>
    <row r="175" spans="1:7" ht="20.100000000000001" customHeight="1" x14ac:dyDescent="0.3">
      <c r="A175" s="32"/>
      <c r="B175" s="32"/>
      <c r="C175" s="32"/>
      <c r="D175" s="32"/>
      <c r="E175" s="32"/>
      <c r="F175" s="32"/>
      <c r="G175" s="32"/>
    </row>
    <row r="176" spans="1:7" ht="20.100000000000001" customHeight="1" x14ac:dyDescent="0.3">
      <c r="A176" s="32"/>
      <c r="B176" s="32"/>
      <c r="C176" s="32"/>
      <c r="D176" s="32"/>
      <c r="E176" s="32"/>
      <c r="F176" s="32"/>
      <c r="G176" s="32"/>
    </row>
    <row r="177" spans="1:7" ht="20.100000000000001" customHeight="1" x14ac:dyDescent="0.3">
      <c r="A177" s="32"/>
      <c r="B177" s="32"/>
      <c r="C177" s="32"/>
      <c r="D177" s="32"/>
      <c r="E177" s="32"/>
      <c r="F177" s="32"/>
      <c r="G177" s="32"/>
    </row>
    <row r="178" spans="1:7" ht="20.100000000000001" customHeight="1" x14ac:dyDescent="0.3">
      <c r="A178" s="32"/>
      <c r="B178" s="32"/>
      <c r="C178" s="32"/>
      <c r="D178" s="32"/>
      <c r="E178" s="32"/>
      <c r="F178" s="32"/>
      <c r="G178" s="32"/>
    </row>
    <row r="179" spans="1:7" ht="20.100000000000001" customHeight="1" x14ac:dyDescent="0.3">
      <c r="A179" s="32"/>
      <c r="B179" s="32"/>
      <c r="C179" s="32"/>
      <c r="D179" s="32"/>
      <c r="E179" s="32"/>
      <c r="F179" s="32"/>
      <c r="G179" s="32"/>
    </row>
    <row r="180" spans="1:7" ht="20.100000000000001" customHeight="1" x14ac:dyDescent="0.3">
      <c r="A180" s="32"/>
      <c r="B180" s="32"/>
      <c r="C180" s="32"/>
      <c r="D180" s="32"/>
      <c r="E180" s="32"/>
      <c r="F180" s="32"/>
      <c r="G180" s="32"/>
    </row>
    <row r="181" spans="1:7" ht="20.100000000000001" customHeight="1" x14ac:dyDescent="0.3">
      <c r="A181" s="32"/>
      <c r="B181" s="32"/>
      <c r="C181" s="32"/>
      <c r="D181" s="32"/>
      <c r="E181" s="32"/>
      <c r="F181" s="32"/>
      <c r="G181" s="32"/>
    </row>
    <row r="182" spans="1:7" ht="20.100000000000001" customHeight="1" x14ac:dyDescent="0.3">
      <c r="A182" s="32"/>
      <c r="B182" s="32"/>
      <c r="C182" s="32"/>
      <c r="D182" s="32"/>
      <c r="E182" s="32"/>
      <c r="F182" s="32"/>
      <c r="G182" s="32"/>
    </row>
    <row r="183" spans="1:7" ht="20.100000000000001" customHeight="1" x14ac:dyDescent="0.3">
      <c r="A183" s="32"/>
      <c r="B183" s="32"/>
      <c r="C183" s="32"/>
      <c r="D183" s="32"/>
      <c r="E183" s="32"/>
      <c r="F183" s="32"/>
      <c r="G183" s="32"/>
    </row>
    <row r="184" spans="1:7" ht="20.100000000000001" customHeight="1" x14ac:dyDescent="0.3">
      <c r="A184" s="32"/>
      <c r="B184" s="32"/>
      <c r="C184" s="32"/>
      <c r="D184" s="32"/>
      <c r="E184" s="32"/>
      <c r="F184" s="32"/>
      <c r="G184" s="32"/>
    </row>
    <row r="185" spans="1:7" ht="20.100000000000001" customHeight="1" x14ac:dyDescent="0.3">
      <c r="A185" s="32"/>
      <c r="B185" s="32"/>
      <c r="C185" s="32"/>
      <c r="D185" s="32"/>
      <c r="E185" s="32"/>
      <c r="F185" s="32"/>
      <c r="G185" s="32"/>
    </row>
    <row r="186" spans="1:7" ht="20.100000000000001" customHeight="1" x14ac:dyDescent="0.3">
      <c r="A186" s="32"/>
      <c r="B186" s="32"/>
      <c r="C186" s="32"/>
      <c r="D186" s="32"/>
      <c r="E186" s="32"/>
      <c r="F186" s="32"/>
      <c r="G186" s="32"/>
    </row>
    <row r="187" spans="1:7" ht="20.100000000000001" customHeight="1" x14ac:dyDescent="0.3">
      <c r="A187" s="32"/>
      <c r="B187" s="32"/>
      <c r="C187" s="32"/>
      <c r="D187" s="32"/>
      <c r="E187" s="32"/>
      <c r="F187" s="32"/>
      <c r="G187" s="32"/>
    </row>
    <row r="188" spans="1:7" ht="20.100000000000001" customHeight="1" x14ac:dyDescent="0.3">
      <c r="A188" s="32"/>
      <c r="B188" s="32"/>
      <c r="C188" s="32"/>
      <c r="D188" s="32"/>
      <c r="E188" s="32"/>
      <c r="F188" s="32"/>
      <c r="G188" s="32"/>
    </row>
    <row r="189" spans="1:7" ht="20.100000000000001" customHeight="1" x14ac:dyDescent="0.3">
      <c r="A189" s="32"/>
      <c r="B189" s="32"/>
      <c r="C189" s="32"/>
      <c r="D189" s="32"/>
      <c r="E189" s="32"/>
      <c r="F189" s="32"/>
      <c r="G189" s="32"/>
    </row>
    <row r="190" spans="1:7" ht="20.100000000000001" customHeight="1" x14ac:dyDescent="0.3">
      <c r="A190" s="32"/>
      <c r="B190" s="32"/>
      <c r="C190" s="32"/>
      <c r="D190" s="32"/>
      <c r="E190" s="32"/>
      <c r="F190" s="32"/>
      <c r="G190" s="32"/>
    </row>
    <row r="191" spans="1:7" ht="20.100000000000001" customHeight="1" x14ac:dyDescent="0.3">
      <c r="A191" s="32"/>
      <c r="B191" s="32"/>
      <c r="C191" s="32"/>
      <c r="D191" s="32"/>
      <c r="E191" s="32"/>
      <c r="F191" s="32"/>
      <c r="G191" s="32"/>
    </row>
    <row r="192" spans="1:7" ht="20.100000000000001" customHeight="1" x14ac:dyDescent="0.3">
      <c r="A192" s="32"/>
      <c r="B192" s="32"/>
      <c r="C192" s="32"/>
      <c r="D192" s="32"/>
      <c r="E192" s="32"/>
      <c r="F192" s="32"/>
      <c r="G192" s="32"/>
    </row>
    <row r="193" spans="1:7" ht="20.100000000000001" customHeight="1" x14ac:dyDescent="0.3">
      <c r="A193" s="32"/>
      <c r="B193" s="32"/>
      <c r="C193" s="32"/>
      <c r="D193" s="32"/>
      <c r="E193" s="32"/>
      <c r="F193" s="32"/>
      <c r="G193" s="32"/>
    </row>
    <row r="194" spans="1:7" ht="20.100000000000001" customHeight="1" x14ac:dyDescent="0.3">
      <c r="A194" s="32"/>
      <c r="B194" s="32"/>
      <c r="C194" s="32"/>
      <c r="D194" s="32"/>
      <c r="E194" s="32"/>
      <c r="F194" s="32"/>
      <c r="G194" s="32"/>
    </row>
    <row r="195" spans="1:7" ht="20.100000000000001" customHeight="1" x14ac:dyDescent="0.3">
      <c r="A195" s="32"/>
      <c r="B195" s="32"/>
      <c r="C195" s="32"/>
      <c r="D195" s="32"/>
      <c r="E195" s="32"/>
      <c r="F195" s="32"/>
      <c r="G195" s="32"/>
    </row>
    <row r="196" spans="1:7" ht="20.100000000000001" customHeight="1" x14ac:dyDescent="0.3">
      <c r="A196" s="32"/>
      <c r="B196" s="32"/>
      <c r="C196" s="32"/>
      <c r="D196" s="32"/>
      <c r="E196" s="32"/>
      <c r="F196" s="32"/>
      <c r="G196" s="32"/>
    </row>
    <row r="197" spans="1:7" ht="20.100000000000001" customHeight="1" x14ac:dyDescent="0.3">
      <c r="A197" s="32"/>
      <c r="B197" s="32"/>
      <c r="C197" s="32"/>
      <c r="D197" s="32"/>
      <c r="E197" s="32"/>
      <c r="F197" s="32"/>
      <c r="G197" s="32"/>
    </row>
    <row r="198" spans="1:7" ht="20.100000000000001" customHeight="1" x14ac:dyDescent="0.3">
      <c r="A198" s="32"/>
      <c r="B198" s="32"/>
      <c r="C198" s="32"/>
      <c r="D198" s="32"/>
      <c r="E198" s="32"/>
      <c r="F198" s="32"/>
      <c r="G198" s="32"/>
    </row>
    <row r="199" spans="1:7" ht="20.100000000000001" customHeight="1" x14ac:dyDescent="0.3">
      <c r="A199" s="32"/>
      <c r="B199" s="32"/>
      <c r="C199" s="32"/>
      <c r="D199" s="32"/>
      <c r="E199" s="32"/>
      <c r="F199" s="32"/>
      <c r="G199" s="32"/>
    </row>
    <row r="200" spans="1:7" ht="20.100000000000001" customHeight="1" x14ac:dyDescent="0.3">
      <c r="A200" s="32"/>
      <c r="B200" s="32"/>
      <c r="C200" s="32"/>
      <c r="D200" s="32"/>
      <c r="E200" s="32"/>
      <c r="F200" s="32"/>
      <c r="G200" s="32"/>
    </row>
    <row r="201" spans="1:7" ht="20.100000000000001" customHeight="1" x14ac:dyDescent="0.3">
      <c r="A201" s="32"/>
      <c r="B201" s="32"/>
      <c r="C201" s="32"/>
      <c r="D201" s="32"/>
      <c r="E201" s="32"/>
      <c r="F201" s="32"/>
      <c r="G201" s="32"/>
    </row>
    <row r="202" spans="1:7" ht="20.100000000000001" customHeight="1" x14ac:dyDescent="0.3">
      <c r="A202" s="32"/>
      <c r="B202" s="32"/>
      <c r="C202" s="32"/>
      <c r="D202" s="32"/>
      <c r="E202" s="32"/>
      <c r="F202" s="32"/>
      <c r="G202" s="32"/>
    </row>
    <row r="203" spans="1:7" ht="20.100000000000001" customHeight="1" x14ac:dyDescent="0.3">
      <c r="A203" s="32"/>
      <c r="B203" s="32"/>
      <c r="C203" s="32"/>
      <c r="D203" s="32"/>
      <c r="E203" s="32"/>
      <c r="F203" s="32"/>
      <c r="G203" s="32"/>
    </row>
    <row r="204" spans="1:7" ht="20.100000000000001" customHeight="1" x14ac:dyDescent="0.3">
      <c r="A204" s="32"/>
      <c r="B204" s="32"/>
      <c r="C204" s="32"/>
      <c r="D204" s="32"/>
      <c r="E204" s="32"/>
      <c r="F204" s="32"/>
      <c r="G204" s="32"/>
    </row>
    <row r="205" spans="1:7" ht="20.100000000000001" customHeight="1" x14ac:dyDescent="0.3">
      <c r="A205" s="32"/>
      <c r="B205" s="32"/>
      <c r="C205" s="32"/>
      <c r="D205" s="32"/>
      <c r="E205" s="32"/>
      <c r="F205" s="32"/>
      <c r="G205" s="32"/>
    </row>
    <row r="206" spans="1:7" ht="20.100000000000001" customHeight="1" x14ac:dyDescent="0.3">
      <c r="A206" s="32"/>
      <c r="B206" s="32"/>
      <c r="C206" s="32"/>
      <c r="D206" s="32"/>
      <c r="E206" s="32"/>
      <c r="F206" s="32"/>
      <c r="G206" s="32"/>
    </row>
    <row r="207" spans="1:7" ht="20.100000000000001" customHeight="1" x14ac:dyDescent="0.3">
      <c r="A207" s="32"/>
      <c r="B207" s="32"/>
      <c r="C207" s="32"/>
      <c r="D207" s="32"/>
      <c r="E207" s="32"/>
      <c r="F207" s="32"/>
      <c r="G207" s="32"/>
    </row>
    <row r="208" spans="1:7" ht="20.100000000000001" customHeight="1" x14ac:dyDescent="0.3">
      <c r="A208" s="32"/>
      <c r="B208" s="32"/>
      <c r="C208" s="32"/>
      <c r="D208" s="32"/>
      <c r="E208" s="32"/>
      <c r="F208" s="32"/>
      <c r="G208" s="32"/>
    </row>
    <row r="209" spans="1:7" ht="20.100000000000001" customHeight="1" x14ac:dyDescent="0.3">
      <c r="A209" s="32"/>
      <c r="B209" s="32"/>
      <c r="C209" s="32"/>
      <c r="D209" s="32"/>
      <c r="E209" s="32"/>
      <c r="F209" s="32"/>
      <c r="G209" s="32"/>
    </row>
    <row r="210" spans="1:7" ht="20.100000000000001" customHeight="1" x14ac:dyDescent="0.3">
      <c r="A210" s="32"/>
      <c r="B210" s="32"/>
      <c r="C210" s="32"/>
      <c r="D210" s="32"/>
      <c r="E210" s="32"/>
      <c r="F210" s="32"/>
      <c r="G210" s="32"/>
    </row>
    <row r="211" spans="1:7" ht="20.100000000000001" customHeight="1" x14ac:dyDescent="0.3">
      <c r="A211" s="32"/>
      <c r="B211" s="32"/>
      <c r="C211" s="32"/>
      <c r="D211" s="32"/>
      <c r="E211" s="32"/>
      <c r="F211" s="32"/>
      <c r="G211" s="32"/>
    </row>
    <row r="212" spans="1:7" ht="20.100000000000001" customHeight="1" x14ac:dyDescent="0.3">
      <c r="A212" s="32"/>
      <c r="B212" s="32"/>
      <c r="C212" s="32"/>
      <c r="D212" s="32"/>
      <c r="E212" s="32"/>
      <c r="F212" s="32"/>
      <c r="G212" s="32"/>
    </row>
    <row r="213" spans="1:7" ht="20.100000000000001" customHeight="1" x14ac:dyDescent="0.3"/>
    <row r="214" spans="1:7" ht="20.100000000000001" customHeight="1" x14ac:dyDescent="0.3"/>
    <row r="215" spans="1:7" ht="20.100000000000001" customHeight="1" x14ac:dyDescent="0.3"/>
    <row r="216" spans="1:7" ht="20.100000000000001" customHeight="1" x14ac:dyDescent="0.3"/>
    <row r="217" spans="1:7" ht="20.100000000000001" customHeight="1" x14ac:dyDescent="0.3"/>
    <row r="218" spans="1:7" ht="20.100000000000001" customHeight="1" x14ac:dyDescent="0.3"/>
    <row r="219" spans="1:7" ht="20.100000000000001" customHeight="1" x14ac:dyDescent="0.3"/>
    <row r="220" spans="1:7" ht="20.100000000000001" customHeight="1" x14ac:dyDescent="0.3"/>
    <row r="221" spans="1:7" ht="20.100000000000001" customHeight="1" x14ac:dyDescent="0.3"/>
    <row r="222" spans="1:7" ht="20.100000000000001" customHeight="1" x14ac:dyDescent="0.3"/>
    <row r="223" spans="1:7" ht="20.100000000000001" customHeight="1" x14ac:dyDescent="0.3"/>
    <row r="224" spans="1:7" ht="20.100000000000001" customHeight="1" x14ac:dyDescent="0.3"/>
    <row r="225" ht="20.100000000000001" customHeight="1" x14ac:dyDescent="0.3"/>
    <row r="226" ht="20.100000000000001" customHeight="1" x14ac:dyDescent="0.3"/>
    <row r="227" ht="20.100000000000001" customHeight="1" x14ac:dyDescent="0.3"/>
    <row r="228" ht="20.100000000000001" customHeight="1" x14ac:dyDescent="0.3"/>
    <row r="229" ht="20.100000000000001" customHeight="1" x14ac:dyDescent="0.3"/>
    <row r="230" ht="20.100000000000001" customHeight="1" x14ac:dyDescent="0.3"/>
    <row r="231" ht="20.100000000000001" customHeight="1" x14ac:dyDescent="0.3"/>
    <row r="232" ht="20.100000000000001" customHeight="1" x14ac:dyDescent="0.3"/>
    <row r="233" ht="20.100000000000001" customHeight="1" x14ac:dyDescent="0.3"/>
    <row r="234" ht="20.100000000000001" customHeight="1" x14ac:dyDescent="0.3"/>
    <row r="235" ht="20.100000000000001" customHeight="1" x14ac:dyDescent="0.3"/>
    <row r="236" ht="20.100000000000001" customHeight="1" x14ac:dyDescent="0.3"/>
    <row r="237" ht="20.100000000000001" customHeight="1" x14ac:dyDescent="0.3"/>
    <row r="238" ht="20.100000000000001" customHeight="1" x14ac:dyDescent="0.3"/>
    <row r="239" ht="20.100000000000001" customHeight="1" x14ac:dyDescent="0.3"/>
    <row r="240" ht="20.100000000000001" customHeight="1" x14ac:dyDescent="0.3"/>
    <row r="241" ht="20.100000000000001" customHeight="1" x14ac:dyDescent="0.3"/>
    <row r="242" ht="20.100000000000001" customHeight="1" x14ac:dyDescent="0.3"/>
    <row r="243" ht="20.100000000000001" customHeight="1" x14ac:dyDescent="0.3"/>
    <row r="244" ht="20.100000000000001" customHeight="1" x14ac:dyDescent="0.3"/>
    <row r="245" ht="20.100000000000001" customHeight="1" x14ac:dyDescent="0.3"/>
    <row r="246" ht="20.100000000000001" customHeight="1" x14ac:dyDescent="0.3"/>
    <row r="247" ht="20.100000000000001" customHeight="1" x14ac:dyDescent="0.3"/>
    <row r="248" ht="20.100000000000001" customHeight="1" x14ac:dyDescent="0.3"/>
    <row r="249" ht="20.100000000000001" customHeight="1" x14ac:dyDescent="0.3"/>
    <row r="250" ht="20.100000000000001" customHeight="1" x14ac:dyDescent="0.3"/>
    <row r="251" ht="20.100000000000001" customHeight="1" x14ac:dyDescent="0.3"/>
    <row r="252" ht="20.100000000000001" customHeight="1" x14ac:dyDescent="0.3"/>
    <row r="253" ht="20.100000000000001" customHeight="1" x14ac:dyDescent="0.3"/>
    <row r="254" ht="20.100000000000001" customHeight="1" x14ac:dyDescent="0.3"/>
    <row r="255" ht="20.100000000000001" customHeight="1" x14ac:dyDescent="0.3"/>
    <row r="256" ht="20.100000000000001" customHeight="1" x14ac:dyDescent="0.3"/>
    <row r="257" ht="20.100000000000001" customHeight="1" x14ac:dyDescent="0.3"/>
    <row r="258" ht="20.100000000000001" customHeight="1" x14ac:dyDescent="0.3"/>
    <row r="259" ht="20.100000000000001" customHeight="1" x14ac:dyDescent="0.3"/>
    <row r="260" ht="20.100000000000001" customHeight="1" x14ac:dyDescent="0.3"/>
    <row r="261" ht="20.100000000000001" customHeight="1" x14ac:dyDescent="0.3"/>
    <row r="262" ht="20.100000000000001" customHeight="1" x14ac:dyDescent="0.3"/>
    <row r="263" ht="20.100000000000001" customHeight="1" x14ac:dyDescent="0.3"/>
    <row r="264" ht="20.100000000000001" customHeight="1" x14ac:dyDescent="0.3"/>
    <row r="265" ht="20.100000000000001" customHeight="1" x14ac:dyDescent="0.3"/>
    <row r="266" ht="20.100000000000001" customHeight="1" x14ac:dyDescent="0.3"/>
    <row r="267" ht="20.100000000000001" customHeight="1" x14ac:dyDescent="0.3"/>
    <row r="268" ht="20.100000000000001" customHeight="1" x14ac:dyDescent="0.3"/>
    <row r="269" ht="20.100000000000001" customHeight="1" x14ac:dyDescent="0.3"/>
    <row r="270" ht="20.100000000000001" customHeight="1" x14ac:dyDescent="0.3"/>
    <row r="271" ht="20.100000000000001" customHeight="1" x14ac:dyDescent="0.3"/>
    <row r="272" ht="20.100000000000001" customHeight="1" x14ac:dyDescent="0.3"/>
    <row r="273" ht="20.100000000000001" customHeight="1" x14ac:dyDescent="0.3"/>
    <row r="274" ht="20.100000000000001" customHeight="1" x14ac:dyDescent="0.3"/>
    <row r="275" ht="20.100000000000001" customHeight="1" x14ac:dyDescent="0.3"/>
    <row r="276" ht="20.100000000000001" customHeight="1" x14ac:dyDescent="0.3"/>
    <row r="277" ht="20.100000000000001" customHeight="1" x14ac:dyDescent="0.3"/>
    <row r="278" ht="20.100000000000001" customHeight="1" x14ac:dyDescent="0.3"/>
    <row r="279" ht="20.100000000000001" customHeight="1" x14ac:dyDescent="0.3"/>
    <row r="280" ht="20.100000000000001" customHeight="1" x14ac:dyDescent="0.3"/>
    <row r="281" ht="20.100000000000001" customHeight="1" x14ac:dyDescent="0.3"/>
    <row r="282" ht="20.100000000000001" customHeight="1" x14ac:dyDescent="0.3"/>
    <row r="283" ht="20.100000000000001" customHeight="1" x14ac:dyDescent="0.3"/>
    <row r="284" ht="20.100000000000001" customHeight="1" x14ac:dyDescent="0.3"/>
    <row r="285" ht="20.100000000000001" customHeight="1" x14ac:dyDescent="0.3"/>
    <row r="286" ht="20.100000000000001" customHeight="1" x14ac:dyDescent="0.3"/>
    <row r="287" ht="20.100000000000001" customHeight="1" x14ac:dyDescent="0.3"/>
    <row r="288" ht="20.100000000000001" customHeight="1" x14ac:dyDescent="0.3"/>
    <row r="289" ht="20.100000000000001" customHeight="1" x14ac:dyDescent="0.3"/>
    <row r="290" ht="20.100000000000001" customHeight="1" x14ac:dyDescent="0.3"/>
    <row r="291" ht="20.100000000000001" customHeight="1" x14ac:dyDescent="0.3"/>
    <row r="292" ht="20.100000000000001" customHeight="1" x14ac:dyDescent="0.3"/>
    <row r="293" ht="20.100000000000001" customHeight="1" x14ac:dyDescent="0.3"/>
    <row r="294" ht="20.100000000000001" customHeight="1" x14ac:dyDescent="0.3"/>
    <row r="295" ht="20.100000000000001" customHeight="1" x14ac:dyDescent="0.3"/>
    <row r="296" ht="20.100000000000001" customHeight="1" x14ac:dyDescent="0.3"/>
    <row r="297" ht="20.100000000000001" customHeight="1" x14ac:dyDescent="0.3"/>
    <row r="298" ht="20.100000000000001" customHeight="1" x14ac:dyDescent="0.3"/>
    <row r="299" ht="20.100000000000001" customHeight="1" x14ac:dyDescent="0.3"/>
    <row r="300" ht="20.100000000000001" customHeight="1" x14ac:dyDescent="0.3"/>
    <row r="301" ht="20.100000000000001" customHeight="1" x14ac:dyDescent="0.3"/>
    <row r="302" ht="20.100000000000001" customHeight="1" x14ac:dyDescent="0.3"/>
    <row r="303" ht="20.100000000000001" customHeight="1" x14ac:dyDescent="0.3"/>
    <row r="304" ht="20.100000000000001" customHeight="1" x14ac:dyDescent="0.3"/>
    <row r="305" ht="20.100000000000001" customHeight="1" x14ac:dyDescent="0.3"/>
    <row r="306" ht="20.100000000000001" customHeight="1" x14ac:dyDescent="0.3"/>
    <row r="307" ht="20.100000000000001" customHeight="1" x14ac:dyDescent="0.3"/>
    <row r="308" ht="20.100000000000001" customHeight="1" x14ac:dyDescent="0.3"/>
    <row r="309" ht="20.100000000000001" customHeight="1" x14ac:dyDescent="0.3"/>
    <row r="310" ht="20.100000000000001" customHeight="1" x14ac:dyDescent="0.3"/>
    <row r="311" ht="20.100000000000001" customHeight="1" x14ac:dyDescent="0.3"/>
    <row r="312" ht="20.100000000000001" customHeight="1" x14ac:dyDescent="0.3"/>
    <row r="313" ht="20.100000000000001" customHeight="1" x14ac:dyDescent="0.3"/>
    <row r="314" ht="20.100000000000001" customHeight="1" x14ac:dyDescent="0.3"/>
    <row r="315" ht="20.100000000000001" customHeight="1" x14ac:dyDescent="0.3"/>
    <row r="316" ht="20.100000000000001" customHeight="1" x14ac:dyDescent="0.3"/>
    <row r="317" ht="20.100000000000001" customHeight="1" x14ac:dyDescent="0.3"/>
    <row r="318" ht="20.100000000000001" customHeight="1" x14ac:dyDescent="0.3"/>
    <row r="319" ht="20.100000000000001" customHeight="1" x14ac:dyDescent="0.3"/>
    <row r="320" ht="20.100000000000001" customHeight="1" x14ac:dyDescent="0.3"/>
    <row r="321" ht="20.100000000000001" customHeight="1" x14ac:dyDescent="0.3"/>
    <row r="322" ht="20.100000000000001" customHeight="1" x14ac:dyDescent="0.3"/>
    <row r="323" ht="20.100000000000001" customHeight="1" x14ac:dyDescent="0.3"/>
    <row r="324" ht="20.100000000000001" customHeight="1" x14ac:dyDescent="0.3"/>
    <row r="325" ht="20.100000000000001" customHeight="1" x14ac:dyDescent="0.3"/>
    <row r="326" ht="20.100000000000001" customHeight="1" x14ac:dyDescent="0.3"/>
    <row r="327" ht="20.100000000000001" customHeight="1" x14ac:dyDescent="0.3"/>
    <row r="328" ht="20.100000000000001" customHeight="1" x14ac:dyDescent="0.3"/>
    <row r="329" ht="20.100000000000001" customHeight="1" x14ac:dyDescent="0.3"/>
    <row r="330" ht="20.100000000000001" customHeight="1" x14ac:dyDescent="0.3"/>
    <row r="331" ht="20.100000000000001" customHeight="1" x14ac:dyDescent="0.3"/>
    <row r="332" ht="20.100000000000001" customHeight="1" x14ac:dyDescent="0.3"/>
    <row r="333" ht="20.100000000000001" customHeight="1" x14ac:dyDescent="0.3"/>
    <row r="334" ht="20.100000000000001" customHeight="1" x14ac:dyDescent="0.3"/>
    <row r="335" ht="20.100000000000001" customHeight="1" x14ac:dyDescent="0.3"/>
    <row r="336" ht="20.100000000000001" customHeight="1" x14ac:dyDescent="0.3"/>
    <row r="337" ht="20.100000000000001" customHeight="1" x14ac:dyDescent="0.3"/>
    <row r="338" ht="20.100000000000001" customHeight="1" x14ac:dyDescent="0.3"/>
    <row r="339" ht="20.100000000000001" customHeight="1" x14ac:dyDescent="0.3"/>
    <row r="340" ht="20.100000000000001" customHeight="1" x14ac:dyDescent="0.3"/>
    <row r="341" ht="20.100000000000001" customHeight="1" x14ac:dyDescent="0.3"/>
    <row r="342" ht="20.100000000000001" customHeight="1" x14ac:dyDescent="0.3"/>
    <row r="343" ht="20.100000000000001" customHeight="1" x14ac:dyDescent="0.3"/>
    <row r="344" ht="20.100000000000001" customHeight="1" x14ac:dyDescent="0.3"/>
    <row r="345" ht="20.100000000000001" customHeight="1" x14ac:dyDescent="0.3"/>
    <row r="346" ht="20.100000000000001" customHeight="1" x14ac:dyDescent="0.3"/>
    <row r="347" ht="20.100000000000001" customHeight="1" x14ac:dyDescent="0.3"/>
    <row r="348" ht="20.100000000000001" customHeight="1" x14ac:dyDescent="0.3"/>
    <row r="349" ht="20.100000000000001" customHeight="1" x14ac:dyDescent="0.3"/>
    <row r="350" ht="20.100000000000001" customHeight="1" x14ac:dyDescent="0.3"/>
    <row r="351" ht="20.100000000000001" customHeight="1" x14ac:dyDescent="0.3"/>
    <row r="352" ht="20.100000000000001" customHeight="1" x14ac:dyDescent="0.3"/>
    <row r="353" ht="20.100000000000001" customHeight="1" x14ac:dyDescent="0.3"/>
    <row r="354" ht="20.100000000000001" customHeight="1" x14ac:dyDescent="0.3"/>
    <row r="355" ht="20.100000000000001" customHeight="1" x14ac:dyDescent="0.3"/>
    <row r="356" ht="20.100000000000001" customHeight="1" x14ac:dyDescent="0.3"/>
    <row r="357" ht="20.100000000000001" customHeight="1" x14ac:dyDescent="0.3"/>
    <row r="358" ht="20.100000000000001" customHeight="1" x14ac:dyDescent="0.3"/>
    <row r="359" ht="20.100000000000001" customHeight="1" x14ac:dyDescent="0.3"/>
    <row r="360" ht="20.100000000000001" customHeight="1" x14ac:dyDescent="0.3"/>
    <row r="361" ht="20.100000000000001" customHeight="1" x14ac:dyDescent="0.3"/>
    <row r="362" ht="20.100000000000001" customHeight="1" x14ac:dyDescent="0.3"/>
    <row r="363" ht="20.100000000000001" customHeight="1" x14ac:dyDescent="0.3"/>
    <row r="364" ht="20.100000000000001" customHeight="1" x14ac:dyDescent="0.3"/>
    <row r="365" ht="20.100000000000001" customHeight="1" x14ac:dyDescent="0.3"/>
    <row r="366" ht="20.100000000000001" customHeight="1" x14ac:dyDescent="0.3"/>
    <row r="367" ht="20.100000000000001" customHeight="1" x14ac:dyDescent="0.3"/>
    <row r="368" ht="20.100000000000001" customHeight="1" x14ac:dyDescent="0.3"/>
    <row r="369" ht="20.100000000000001" customHeight="1" x14ac:dyDescent="0.3"/>
    <row r="370" ht="20.100000000000001" customHeight="1" x14ac:dyDescent="0.3"/>
    <row r="371" ht="20.100000000000001" customHeight="1" x14ac:dyDescent="0.3"/>
    <row r="372" ht="20.100000000000001" customHeight="1" x14ac:dyDescent="0.3"/>
    <row r="373" ht="20.100000000000001" customHeight="1" x14ac:dyDescent="0.3"/>
    <row r="374" ht="20.100000000000001" customHeight="1" x14ac:dyDescent="0.3"/>
    <row r="375" ht="20.100000000000001" customHeight="1" x14ac:dyDescent="0.3"/>
    <row r="376" ht="20.100000000000001" customHeight="1" x14ac:dyDescent="0.3"/>
    <row r="377" ht="20.100000000000001" customHeight="1" x14ac:dyDescent="0.3"/>
    <row r="378" ht="20.100000000000001" customHeight="1" x14ac:dyDescent="0.3"/>
    <row r="379" ht="20.100000000000001" customHeight="1" x14ac:dyDescent="0.3"/>
    <row r="380" ht="20.100000000000001" customHeight="1" x14ac:dyDescent="0.3"/>
    <row r="381" ht="20.100000000000001" customHeight="1" x14ac:dyDescent="0.3"/>
    <row r="382" ht="20.100000000000001" customHeight="1" x14ac:dyDescent="0.3"/>
    <row r="383" ht="20.100000000000001" customHeight="1" x14ac:dyDescent="0.3"/>
    <row r="384" ht="20.100000000000001" customHeight="1" x14ac:dyDescent="0.3"/>
    <row r="385" ht="20.100000000000001" customHeight="1" x14ac:dyDescent="0.3"/>
    <row r="386" ht="20.100000000000001" customHeight="1" x14ac:dyDescent="0.3"/>
    <row r="387" ht="20.100000000000001" customHeight="1" x14ac:dyDescent="0.3"/>
    <row r="388" ht="20.100000000000001" customHeight="1" x14ac:dyDescent="0.3"/>
    <row r="389" ht="20.100000000000001" customHeight="1" x14ac:dyDescent="0.3"/>
    <row r="390" ht="20.100000000000001" customHeight="1" x14ac:dyDescent="0.3"/>
    <row r="391" ht="20.100000000000001" customHeight="1" x14ac:dyDescent="0.3"/>
    <row r="392" ht="20.100000000000001" customHeight="1" x14ac:dyDescent="0.3"/>
    <row r="393" ht="20.100000000000001" customHeight="1" x14ac:dyDescent="0.3"/>
    <row r="394" ht="20.100000000000001" customHeight="1" x14ac:dyDescent="0.3"/>
    <row r="395" ht="20.100000000000001" customHeight="1" x14ac:dyDescent="0.3"/>
    <row r="396" ht="20.100000000000001" customHeight="1" x14ac:dyDescent="0.3"/>
    <row r="397" ht="20.100000000000001" customHeight="1" x14ac:dyDescent="0.3"/>
    <row r="398" ht="20.100000000000001" customHeight="1" x14ac:dyDescent="0.3"/>
    <row r="399" ht="20.100000000000001" customHeight="1" x14ac:dyDescent="0.3"/>
    <row r="400" ht="20.100000000000001" customHeight="1" x14ac:dyDescent="0.3"/>
    <row r="401" ht="20.100000000000001" customHeight="1" x14ac:dyDescent="0.3"/>
    <row r="402" ht="20.100000000000001" customHeight="1" x14ac:dyDescent="0.3"/>
    <row r="403" ht="20.100000000000001" customHeight="1" x14ac:dyDescent="0.3"/>
    <row r="404" ht="20.100000000000001" customHeight="1" x14ac:dyDescent="0.3"/>
    <row r="405" ht="20.100000000000001" customHeight="1" x14ac:dyDescent="0.3"/>
    <row r="406" ht="20.100000000000001" customHeight="1" x14ac:dyDescent="0.3"/>
    <row r="407" ht="20.100000000000001" customHeight="1" x14ac:dyDescent="0.3"/>
    <row r="408" ht="20.100000000000001" customHeight="1" x14ac:dyDescent="0.3"/>
    <row r="409" ht="20.100000000000001" customHeight="1" x14ac:dyDescent="0.3"/>
    <row r="410" ht="20.100000000000001" customHeight="1" x14ac:dyDescent="0.3"/>
    <row r="411" ht="20.100000000000001" customHeight="1" x14ac:dyDescent="0.3"/>
    <row r="412" ht="20.100000000000001" customHeight="1" x14ac:dyDescent="0.3"/>
    <row r="413" ht="20.100000000000001" customHeight="1" x14ac:dyDescent="0.3"/>
    <row r="414" ht="20.100000000000001" customHeight="1" x14ac:dyDescent="0.3"/>
    <row r="415" ht="20.100000000000001" customHeight="1" x14ac:dyDescent="0.3"/>
    <row r="416" ht="20.100000000000001" customHeight="1" x14ac:dyDescent="0.3"/>
    <row r="417" ht="20.100000000000001" customHeight="1" x14ac:dyDescent="0.3"/>
    <row r="418" ht="20.100000000000001" customHeight="1" x14ac:dyDescent="0.3"/>
    <row r="419" ht="20.100000000000001" customHeight="1" x14ac:dyDescent="0.3"/>
    <row r="420" ht="20.100000000000001" customHeight="1" x14ac:dyDescent="0.3"/>
    <row r="421" ht="20.100000000000001" customHeight="1" x14ac:dyDescent="0.3"/>
    <row r="422" ht="20.100000000000001" customHeight="1" x14ac:dyDescent="0.3"/>
    <row r="423" ht="20.100000000000001" customHeight="1" x14ac:dyDescent="0.3"/>
    <row r="424" ht="20.100000000000001" customHeight="1" x14ac:dyDescent="0.3"/>
    <row r="425" ht="20.100000000000001" customHeight="1" x14ac:dyDescent="0.3"/>
    <row r="426" ht="20.100000000000001" customHeight="1" x14ac:dyDescent="0.3"/>
    <row r="427" ht="20.100000000000001" customHeight="1" x14ac:dyDescent="0.3"/>
    <row r="428" ht="20.100000000000001" customHeight="1" x14ac:dyDescent="0.3"/>
    <row r="429" ht="20.100000000000001" customHeight="1" x14ac:dyDescent="0.3"/>
    <row r="430" ht="20.100000000000001" customHeight="1" x14ac:dyDescent="0.3"/>
    <row r="431" ht="20.100000000000001" customHeight="1" x14ac:dyDescent="0.3"/>
    <row r="432" ht="20.100000000000001" customHeight="1" x14ac:dyDescent="0.3"/>
    <row r="433" ht="20.100000000000001" customHeight="1" x14ac:dyDescent="0.3"/>
    <row r="434" ht="20.100000000000001" customHeight="1" x14ac:dyDescent="0.3"/>
    <row r="435" ht="20.100000000000001" customHeight="1" x14ac:dyDescent="0.3"/>
    <row r="436" ht="20.100000000000001" customHeight="1" x14ac:dyDescent="0.3"/>
    <row r="437" ht="20.100000000000001" customHeight="1" x14ac:dyDescent="0.3"/>
    <row r="438" ht="20.100000000000001" customHeight="1" x14ac:dyDescent="0.3"/>
  </sheetData>
  <mergeCells count="45">
    <mergeCell ref="B29:F29"/>
    <mergeCell ref="B31:E31"/>
    <mergeCell ref="B70:F70"/>
    <mergeCell ref="B80:E80"/>
    <mergeCell ref="B62:F62"/>
    <mergeCell ref="B60:F60"/>
    <mergeCell ref="B68:E68"/>
    <mergeCell ref="A81:F81"/>
    <mergeCell ref="B8:F8"/>
    <mergeCell ref="B10:F10"/>
    <mergeCell ref="A12:A13"/>
    <mergeCell ref="B12:F12"/>
    <mergeCell ref="B13:F13"/>
    <mergeCell ref="B9:F9"/>
    <mergeCell ref="B17:E17"/>
    <mergeCell ref="B19:F19"/>
    <mergeCell ref="B25:E25"/>
    <mergeCell ref="A18:F18"/>
    <mergeCell ref="B33:F33"/>
    <mergeCell ref="B27:F27"/>
    <mergeCell ref="B40:E40"/>
    <mergeCell ref="B42:F42"/>
    <mergeCell ref="B58:E58"/>
    <mergeCell ref="C1:H1"/>
    <mergeCell ref="C2:H2"/>
    <mergeCell ref="C3:H3"/>
    <mergeCell ref="C4:H4"/>
    <mergeCell ref="A5:B5"/>
    <mergeCell ref="C5:H5"/>
    <mergeCell ref="A93:F93"/>
    <mergeCell ref="G93:H93"/>
    <mergeCell ref="A98:H102"/>
    <mergeCell ref="A108:C108"/>
    <mergeCell ref="A6:B6"/>
    <mergeCell ref="C6:H6"/>
    <mergeCell ref="G10:H10"/>
    <mergeCell ref="B88:E88"/>
    <mergeCell ref="B89:E89"/>
    <mergeCell ref="A82:F82"/>
    <mergeCell ref="A90:E90"/>
    <mergeCell ref="B83:E83"/>
    <mergeCell ref="B84:E84"/>
    <mergeCell ref="B86:E86"/>
    <mergeCell ref="B85:E85"/>
    <mergeCell ref="B35:F35"/>
  </mergeCells>
  <pageMargins left="0.7" right="0.7" top="0.75" bottom="0.75" header="0.3" footer="0.3"/>
  <pageSetup scale="73"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Renovimi dhe kabina ne DSS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2025-11-10T21:49:43Z</dcterms:modified>
</cp:coreProperties>
</file>